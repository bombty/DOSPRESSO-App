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ÇİZERGE" sheetId="2" r:id="rId6"/>
    <sheet name="OFİS" sheetId="3" r:id="rId7"/>
    <sheet name="İMALATHANE " sheetId="4" r:id="rId8"/>
    <sheet name="IŞIKLAR" sheetId="5" r:id="rId9"/>
  </sheets>
</workbook>
</file>

<file path=xl/comments1.xml><?xml version="1.0" encoding="utf-8"?>
<comments xmlns="http://schemas.openxmlformats.org/spreadsheetml/2006/main">
  <authors>
    <author>User</author>
  </authors>
  <commentList>
    <comment ref="Q16" authorId="0">
      <text>
        <r>
          <rPr>
            <sz val="11"/>
            <color indexed="8"/>
            <rFont val="Helvetica Neue"/>
          </rPr>
          <t xml:space="preserve">User:
KENDİSİNİN BEYANI </t>
        </r>
      </text>
    </comment>
    <comment ref="N22" authorId="0">
      <text>
        <r>
          <rPr>
            <sz val="11"/>
            <color indexed="8"/>
            <rFont val="Helvetica Neue"/>
          </rPr>
          <t>User:
sahil yaşam 2 gün ekstra mesai alacağı</t>
        </r>
      </text>
    </comment>
    <comment ref="N25" authorId="0">
      <text>
        <r>
          <rPr>
            <sz val="11"/>
            <color indexed="8"/>
            <rFont val="Helvetica Neue"/>
          </rPr>
          <t>User:
sahil yaşam 2 gün ekstra mesai alacağı</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<sst xmlns="http://schemas.openxmlformats.org/spreadsheetml/2006/main" uniqueCount="153">
  <si>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</si>
  <si>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</si>
  <si>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</si>
  <si>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</si>
  <si>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ÇİZERGE</t>
  </si>
  <si>
    <t>Table 1</t>
  </si>
  <si>
    <t>SIRA NO</t>
  </si>
  <si>
    <t>AD SOYAD</t>
  </si>
  <si>
    <t>DEPARTMAN</t>
  </si>
  <si>
    <t>Temel MAAŞ</t>
  </si>
  <si>
    <t>PRİM</t>
  </si>
  <si>
    <t xml:space="preserve">KASA TAZMİNATI </t>
  </si>
  <si>
    <t>YAKIT elden</t>
  </si>
  <si>
    <t xml:space="preserve">HAKEDİŞ </t>
  </si>
  <si>
    <t>DOĞUM TARİHİ</t>
  </si>
  <si>
    <t>YAŞ (YIL)</t>
  </si>
  <si>
    <t xml:space="preserve">İŞE GİRİŞ TARİHİ </t>
  </si>
  <si>
    <t>KIDEM (YIL )</t>
  </si>
  <si>
    <t>2025 YILI KALAN YILLIK İZNİ</t>
  </si>
  <si>
    <t>2026 HAK EDİLEN YILLIK İZİN</t>
  </si>
  <si>
    <t>TOPLAM YILLIK İZİN HAKKI</t>
  </si>
  <si>
    <t>OCAK  İZNİ</t>
  </si>
  <si>
    <t>ŞUBAT İZNİ</t>
  </si>
  <si>
    <t>MART İZNİ</t>
  </si>
  <si>
    <t>NİSAN İZNİ</t>
  </si>
  <si>
    <t>MAYIS İZNİ</t>
  </si>
  <si>
    <t>HAZİRAN İZNİ</t>
  </si>
  <si>
    <t>TEMMUZ İZNİ</t>
  </si>
  <si>
    <t>AĞUSTOS İZNİ</t>
  </si>
  <si>
    <t>EYLÜL İZNİ</t>
  </si>
  <si>
    <t>EKİM İZNİ</t>
  </si>
  <si>
    <t>KASIM İZNİ</t>
  </si>
  <si>
    <t>ARALIK İZNİ</t>
  </si>
  <si>
    <t>2026 YILI KULLANILAN TOPLAM YILLIK İZİN</t>
  </si>
  <si>
    <t>DEVİR YILLIK İZNİ MİKTARI</t>
  </si>
  <si>
    <t>ARİFE YILDIRIM</t>
  </si>
  <si>
    <t>İMALATHANE</t>
  </si>
  <si>
    <t>ATİYE KAR</t>
  </si>
  <si>
    <t>BÜŞRA DOĞMUŞ</t>
  </si>
  <si>
    <t>DIANA NAYFONOVA</t>
  </si>
  <si>
    <t>OFİS</t>
  </si>
  <si>
    <t>EREN ELMAS</t>
  </si>
  <si>
    <t>FİLİZ KARALİ</t>
  </si>
  <si>
    <t>GALİP CAN BORAN</t>
  </si>
  <si>
    <t>HATİCE KOCABAŞ</t>
  </si>
  <si>
    <t>LEYLA SÖNMEZ</t>
  </si>
  <si>
    <t>MAHMUT ALTUNAY</t>
  </si>
  <si>
    <t>MİHRİCAN VEZİROĞLU</t>
  </si>
  <si>
    <t>MUSTAFA CAN HORZUM</t>
  </si>
  <si>
    <t>ŞEVKET SAMET KARA</t>
  </si>
  <si>
    <t>UTKU DERNEK</t>
  </si>
  <si>
    <t>ÜMÜT KOŞAR</t>
  </si>
  <si>
    <t>AHMET HAMİT DOĞAN</t>
  </si>
  <si>
    <t>IŞIKLAR</t>
  </si>
  <si>
    <t>ATEŞ GÜNEY YILMAZ</t>
  </si>
  <si>
    <t>BASRİ ŞEN</t>
  </si>
  <si>
    <t>CİHAN KOLAKAN</t>
  </si>
  <si>
    <t>ECE ÖZ</t>
  </si>
  <si>
    <t>EFE KADİR KOCAKAYA</t>
  </si>
  <si>
    <t>KEMAL HÜSEYİNOĞLU</t>
  </si>
  <si>
    <t>YAVUZ KOLAKAN</t>
  </si>
  <si>
    <t xml:space="preserve">SÜLEYMAN OLGUN </t>
  </si>
  <si>
    <t xml:space="preserve">İSMAİL SİVRİ </t>
  </si>
  <si>
    <t xml:space="preserve">HÜLYA TÜZÜN </t>
  </si>
  <si>
    <t>SEDEF GÖNCÜ</t>
  </si>
  <si>
    <t>DİANA NAYFONOVA</t>
  </si>
  <si>
    <t>08/09/2015 GİRİŞ</t>
  </si>
  <si>
    <t>28/06/2021 GİRİŞLİ</t>
  </si>
  <si>
    <t>01/08/2024 GİRİŞ</t>
  </si>
  <si>
    <t>08/09/2016 hak ediş</t>
  </si>
  <si>
    <t>28/06/2022 hak ediş</t>
  </si>
  <si>
    <t>01/08/2025 hak ediş</t>
  </si>
  <si>
    <t>20/01/2026 hak ediş</t>
  </si>
  <si>
    <t>KALAN İZİN 56 GÜN</t>
  </si>
  <si>
    <t>İZİN HAKKI YOK</t>
  </si>
  <si>
    <t>KALAN İZİN 1,50 GÜN</t>
  </si>
  <si>
    <t xml:space="preserve">İZİN HAKKI YOK </t>
  </si>
  <si>
    <t xml:space="preserve">ÜMRAN GÜL </t>
  </si>
  <si>
    <t>10/11/2025 GİRİŞ</t>
  </si>
  <si>
    <t>24/11/2025 GİRİŞ</t>
  </si>
  <si>
    <t>10/11/2026 HAK EDİŞ</t>
  </si>
  <si>
    <t>24/11/2026 HAK EDİŞ</t>
  </si>
  <si>
    <t xml:space="preserve">İMALATHANE </t>
  </si>
  <si>
    <t>HÜLYA GÖRÜR</t>
  </si>
  <si>
    <t xml:space="preserve">MUSTAFA CAN HORZUM </t>
  </si>
  <si>
    <t xml:space="preserve">ÜMÜT KOŞAR </t>
  </si>
  <si>
    <t>24/02/2017 GİRİŞ</t>
  </si>
  <si>
    <t>25/05/2021 GİRİŞ</t>
  </si>
  <si>
    <t>02/09/2019 giriş</t>
  </si>
  <si>
    <t>25.07.2018 giriş</t>
  </si>
  <si>
    <t>08.08.2023 giriş</t>
  </si>
  <si>
    <t>22.01.2024 giriş</t>
  </si>
  <si>
    <t>17/11/2025 GİRİŞ</t>
  </si>
  <si>
    <t>24/02/2018 HAK EDİŞ</t>
  </si>
  <si>
    <t>25/05/2022 HAK EDİŞ</t>
  </si>
  <si>
    <t>02/09/2020 hak ediş</t>
  </si>
  <si>
    <t>25/07/2019 hak ediş</t>
  </si>
  <si>
    <t>08/08/2024 hak ediş</t>
  </si>
  <si>
    <t>22/01/2025 hak ediş</t>
  </si>
  <si>
    <t xml:space="preserve">17/11/2026 HAK EDİŞ </t>
  </si>
  <si>
    <t>kalan izin 14,50 gün</t>
  </si>
  <si>
    <t>kalan izin 2 gün</t>
  </si>
  <si>
    <t xml:space="preserve">kalan izin 11 gün </t>
  </si>
  <si>
    <t>kalan izin  14 gün</t>
  </si>
  <si>
    <t xml:space="preserve">izin hakkı yok </t>
  </si>
  <si>
    <t>IRAZ ÇAKMAK</t>
  </si>
  <si>
    <t xml:space="preserve">LEYLA SÖNMEZ </t>
  </si>
  <si>
    <t>01.08.2024 giriş</t>
  </si>
  <si>
    <t>23/05/2025 giriş</t>
  </si>
  <si>
    <t>18/03/2024 giriş</t>
  </si>
  <si>
    <t>01/10/2025 giriş</t>
  </si>
  <si>
    <t>29/05/2023 giriş</t>
  </si>
  <si>
    <t>21/07/2025 giriş</t>
  </si>
  <si>
    <t>23/05/2026 hak ediş</t>
  </si>
  <si>
    <t>18/03/2025 hak ediş</t>
  </si>
  <si>
    <t>01/10/2026 hak ediş</t>
  </si>
  <si>
    <t>29/05/2024 hak ediş</t>
  </si>
  <si>
    <t>21/07/2026 hak ediş</t>
  </si>
  <si>
    <t>izin hakkı yok</t>
  </si>
  <si>
    <t>kalan izin 3,50 gün</t>
  </si>
  <si>
    <t>kalan izin hakkı 7 gün</t>
  </si>
  <si>
    <t>ABDULLAH ÜZER</t>
  </si>
  <si>
    <t xml:space="preserve">ATEŞ GÜNEY YILMAZ </t>
  </si>
  <si>
    <t>MİNE KARAFAKIOĞLU</t>
  </si>
  <si>
    <t>19/02/2021 GİRİŞ</t>
  </si>
  <si>
    <t>06.09.2022 GİRİŞ</t>
  </si>
  <si>
    <t>01.09.2022 GİRİŞ</t>
  </si>
  <si>
    <t>07.09.2024 GİRİŞ</t>
  </si>
  <si>
    <t>27.12.2023 GİRİŞ</t>
  </si>
  <si>
    <t>14.06.2021 GİRİŞ</t>
  </si>
  <si>
    <t>19/02/2023 HAK EDİŞ</t>
  </si>
  <si>
    <t>06/09/2023 HAK EDİŞ</t>
  </si>
  <si>
    <t>01/09/2023 HAK EDİŞ</t>
  </si>
  <si>
    <t>07/09/2025 HAK EDİŞ</t>
  </si>
  <si>
    <t>27/12/2024 HAK EDİŞ</t>
  </si>
  <si>
    <t xml:space="preserve">14/06/2022 HAK EDİŞ </t>
  </si>
  <si>
    <t>KALAN İZİN 33 GÜN</t>
  </si>
  <si>
    <t xml:space="preserve">KALAN İZİN 8 GÜN </t>
  </si>
  <si>
    <t>KALAN İZİN YOK</t>
  </si>
  <si>
    <t>KALAN İZİN  14 GÜN</t>
  </si>
  <si>
    <t>KALAN İZİN 2 GÜN</t>
  </si>
  <si>
    <t>KALAN İZİN 7 GÜN</t>
  </si>
  <si>
    <t>ELİF  BEYZA ÖCAL</t>
  </si>
  <si>
    <t>18.08.2023 GİRİŞ</t>
  </si>
  <si>
    <t>15.10.2024 GİRİŞ</t>
  </si>
  <si>
    <t>18.09.2025 GİRİŞ</t>
  </si>
  <si>
    <t>08.10.2025 GİRİŞ</t>
  </si>
  <si>
    <t>18/08/2024 HAK EDİŞ</t>
  </si>
  <si>
    <t>15/10/2025 HAK EDİŞ</t>
  </si>
  <si>
    <t xml:space="preserve">18/09/2026 HAK EDİŞ </t>
  </si>
  <si>
    <t>08/10/2026 HAK EDİŞ</t>
  </si>
  <si>
    <t>KALAN İZİN 6 GÜN</t>
  </si>
  <si>
    <t>KALAN İZİN</t>
  </si>
</sst>
</file>

<file path=xl/styles.xml><?xml version="1.0" encoding="utf-8"?>
<styleSheet xmlns="http://schemas.openxmlformats.org/spreadsheetml/2006/main">
  <numFmts count="3">
    <numFmt numFmtId="0" formatCode="General"/>
    <numFmt numFmtId="59" formatCode="&quot; &quot;* #,##0.00&quot; &quot;;&quot;-&quot;* #,##0.00&quot; &quot;;&quot; &quot;* &quot;-&quot;??&quot; &quot;"/>
    <numFmt numFmtId="60" formatCode="dd&quot;.&quot;mm&quot;.&quot;yyyy"/>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8"/>
      <name val="Helvetica Neue"/>
    </font>
    <font>
      <b val="1"/>
      <sz val="11"/>
      <color indexed="8"/>
      <name val="Calibri"/>
    </font>
    <font>
      <b val="1"/>
      <sz val="11"/>
      <color indexed="18"/>
      <name val="Calibri"/>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9"/>
        <bgColor auto="1"/>
      </patternFill>
    </fill>
  </fills>
  <borders count="1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7"/>
      </right>
      <top style="thin">
        <color indexed="8"/>
      </top>
      <bottom style="thin">
        <color indexed="17"/>
      </bottom>
      <diagonal/>
    </border>
    <border>
      <left style="thin">
        <color indexed="17"/>
      </left>
      <right style="thin">
        <color indexed="17"/>
      </right>
      <top style="thin">
        <color indexed="8"/>
      </top>
      <bottom style="thin">
        <color indexed="17"/>
      </bottom>
      <diagonal/>
    </border>
    <border>
      <left style="thin">
        <color indexed="17"/>
      </left>
      <right style="thin">
        <color indexed="8"/>
      </right>
      <top style="thin">
        <color indexed="8"/>
      </top>
      <bottom style="thin">
        <color indexed="17"/>
      </bottom>
      <diagonal/>
    </border>
    <border>
      <left style="thin">
        <color indexed="8"/>
      </left>
      <right style="thin">
        <color indexed="17"/>
      </right>
      <top style="thin">
        <color indexed="17"/>
      </top>
      <bottom style="thin">
        <color indexed="8"/>
      </bottom>
      <diagonal/>
    </border>
    <border>
      <left style="thin">
        <color indexed="17"/>
      </left>
      <right style="thin">
        <color indexed="17"/>
      </right>
      <top style="thin">
        <color indexed="17"/>
      </top>
      <bottom style="thin">
        <color indexed="8"/>
      </bottom>
      <diagonal/>
    </border>
    <border>
      <left style="thin">
        <color indexed="17"/>
      </left>
      <right style="thin">
        <color indexed="8"/>
      </right>
      <top style="thin">
        <color indexed="17"/>
      </top>
      <bottom style="thin">
        <color indexed="8"/>
      </bottom>
      <diagonal/>
    </border>
    <border>
      <left style="thin">
        <color indexed="8"/>
      </left>
      <right style="thin">
        <color indexed="17"/>
      </right>
      <top style="thin">
        <color indexed="8"/>
      </top>
      <bottom style="thin">
        <color indexed="8"/>
      </bottom>
      <diagonal/>
    </border>
    <border>
      <left style="thin">
        <color indexed="17"/>
      </left>
      <right style="thin">
        <color indexed="17"/>
      </right>
      <top style="thin">
        <color indexed="8"/>
      </top>
      <bottom style="thin">
        <color indexed="8"/>
      </bottom>
      <diagonal/>
    </border>
    <border>
      <left style="thin">
        <color indexed="17"/>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7"/>
      </right>
      <top style="thin">
        <color indexed="17"/>
      </top>
      <bottom style="thin">
        <color indexed="17"/>
      </bottom>
      <diagonal/>
    </border>
  </borders>
  <cellStyleXfs count="1">
    <xf numFmtId="0" fontId="0" applyNumberFormat="0" applyFont="1" applyFill="0" applyBorder="0" applyAlignment="1" applyProtection="0">
      <alignment vertical="bottom"/>
    </xf>
  </cellStyleXfs>
  <cellXfs count="6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horizontal="center" vertical="bottom" wrapText="1"/>
    </xf>
    <xf numFmtId="0" fontId="0" fillId="5" borderId="1" applyNumberFormat="1" applyFont="1" applyFill="1" applyBorder="1" applyAlignment="1" applyProtection="0">
      <alignment vertical="bottom"/>
    </xf>
    <xf numFmtId="49" fontId="0" fillId="6" borderId="1" applyNumberFormat="1" applyFont="1" applyFill="1" applyBorder="1" applyAlignment="1" applyProtection="0">
      <alignment vertical="bottom"/>
    </xf>
    <xf numFmtId="59" fontId="0" fillId="6" borderId="1" applyNumberFormat="1" applyFont="1" applyFill="1" applyBorder="1" applyAlignment="1" applyProtection="0">
      <alignment vertical="bottom"/>
    </xf>
    <xf numFmtId="60" fontId="0" fillId="7" borderId="1" applyNumberFormat="1" applyFont="1" applyFill="1" applyBorder="1" applyAlignment="1" applyProtection="0">
      <alignment vertical="bottom"/>
    </xf>
    <xf numFmtId="0" fontId="0" fillId="7" borderId="1" applyNumberFormat="1" applyFont="1" applyFill="1" applyBorder="1" applyAlignment="1" applyProtection="0">
      <alignment horizontal="center" vertical="bottom"/>
    </xf>
    <xf numFmtId="14" fontId="0" fillId="7" borderId="1" applyNumberFormat="1" applyFont="1" applyFill="1" applyBorder="1" applyAlignment="1" applyProtection="0">
      <alignment vertical="bottom"/>
    </xf>
    <xf numFmtId="0" fontId="0" fillId="8" borderId="1" applyNumberFormat="1" applyFont="1" applyFill="1" applyBorder="1" applyAlignment="1" applyProtection="0">
      <alignment horizontal="center" vertical="bottom"/>
    </xf>
    <xf numFmtId="0" fontId="0" fillId="8" borderId="1" applyNumberFormat="0" applyFont="1" applyFill="1" applyBorder="1" applyAlignment="1" applyProtection="0">
      <alignment horizontal="center" vertical="bottom"/>
    </xf>
    <xf numFmtId="0" fontId="0" fillId="6" borderId="1" applyNumberFormat="0" applyFont="1" applyFill="1" applyBorder="1" applyAlignment="1" applyProtection="0">
      <alignment horizontal="center" vertical="bottom"/>
    </xf>
    <xf numFmtId="0" fontId="0" fillId="5" borderId="1" applyNumberFormat="1" applyFont="1" applyFill="1" applyBorder="1" applyAlignment="1" applyProtection="0">
      <alignment horizontal="center" vertical="bottom"/>
    </xf>
    <xf numFmtId="0" fontId="0" fillId="6" borderId="1" applyNumberFormat="1" applyFont="1" applyFill="1" applyBorder="1" applyAlignment="1" applyProtection="0">
      <alignment horizontal="center" vertical="bottom"/>
    </xf>
    <xf numFmtId="0" fontId="0" fillId="5" borderId="1" applyNumberFormat="0" applyFont="1" applyFill="1" applyBorder="1" applyAlignment="1" applyProtection="0">
      <alignment vertical="bottom"/>
    </xf>
    <xf numFmtId="0" fontId="0" fillId="6" borderId="1" applyNumberFormat="0" applyFont="1" applyFill="1" applyBorder="1" applyAlignment="1" applyProtection="0">
      <alignment vertical="bottom"/>
    </xf>
    <xf numFmtId="0" fontId="0" fillId="7" borderId="1" applyNumberFormat="0" applyFont="1" applyFill="1" applyBorder="1" applyAlignment="1" applyProtection="0">
      <alignment horizontal="center" vertical="bottom"/>
    </xf>
    <xf numFmtId="0" fontId="0" fillId="5" borderId="1"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49" fontId="7" borderId="2" applyNumberFormat="1" applyFont="1" applyFill="0" applyBorder="1" applyAlignment="1" applyProtection="0">
      <alignment horizontal="center" vertical="bottom"/>
    </xf>
    <xf numFmtId="0" fontId="7" borderId="3" applyNumberFormat="0" applyFont="1" applyFill="0" applyBorder="1" applyAlignment="1" applyProtection="0">
      <alignment horizontal="center" vertical="bottom"/>
    </xf>
    <xf numFmtId="0" fontId="7" borderId="4" applyNumberFormat="0" applyFont="1" applyFill="0" applyBorder="1" applyAlignment="1" applyProtection="0">
      <alignment horizontal="center" vertical="bottom"/>
    </xf>
    <xf numFmtId="0" fontId="7" borderId="5" applyNumberFormat="0" applyFont="1" applyFill="0" applyBorder="1" applyAlignment="1" applyProtection="0">
      <alignment horizontal="center" vertical="bottom"/>
    </xf>
    <xf numFmtId="0" fontId="7" borderId="6" applyNumberFormat="0" applyFont="1" applyFill="0" applyBorder="1" applyAlignment="1" applyProtection="0">
      <alignment horizontal="center" vertical="bottom"/>
    </xf>
    <xf numFmtId="0" fontId="7" borderId="7" applyNumberFormat="0" applyFont="1" applyFill="0" applyBorder="1" applyAlignment="1" applyProtection="0">
      <alignment horizontal="center" vertical="bottom"/>
    </xf>
    <xf numFmtId="49" fontId="8" borderId="8" applyNumberFormat="1" applyFont="1" applyFill="0" applyBorder="1" applyAlignment="1" applyProtection="0">
      <alignment horizontal="center" vertical="bottom"/>
    </xf>
    <xf numFmtId="0" fontId="8" borderId="9" applyNumberFormat="0" applyFont="1" applyFill="0" applyBorder="1" applyAlignment="1" applyProtection="0">
      <alignment horizontal="center" vertical="bottom"/>
    </xf>
    <xf numFmtId="0" fontId="8" borderId="10" applyNumberFormat="0" applyFont="1" applyFill="0" applyBorder="1" applyAlignment="1" applyProtection="0">
      <alignment horizontal="center" vertical="bottom"/>
    </xf>
    <xf numFmtId="49" fontId="8" fillId="9" borderId="8" applyNumberFormat="1" applyFont="1" applyFill="1" applyBorder="1" applyAlignment="1" applyProtection="0">
      <alignment horizontal="center" vertical="bottom" wrapText="1"/>
    </xf>
    <xf numFmtId="0" fontId="8" fillId="9" borderId="9" applyNumberFormat="0" applyFont="1" applyFill="1" applyBorder="1" applyAlignment="1" applyProtection="0">
      <alignment horizontal="center" vertical="bottom" wrapText="1"/>
    </xf>
    <xf numFmtId="0" fontId="8" fillId="9" borderId="10" applyNumberFormat="0" applyFont="1" applyFill="1" applyBorder="1" applyAlignment="1" applyProtection="0">
      <alignment horizontal="center" vertical="bottom" wrapText="1"/>
    </xf>
    <xf numFmtId="14" fontId="8" fillId="9" borderId="8" applyNumberFormat="1" applyFont="1" applyFill="1" applyBorder="1" applyAlignment="1" applyProtection="0">
      <alignment horizontal="center" vertical="bottom" wrapText="1"/>
    </xf>
    <xf numFmtId="49" fontId="8" borderId="11" applyNumberFormat="1" applyFont="1" applyFill="0" applyBorder="1" applyAlignment="1" applyProtection="0">
      <alignment horizontal="center" vertical="bottom"/>
    </xf>
    <xf numFmtId="0" fontId="8" borderId="12" applyNumberFormat="0" applyFont="1" applyFill="0" applyBorder="1" applyAlignment="1" applyProtection="0">
      <alignment horizontal="center" vertical="bottom"/>
    </xf>
    <xf numFmtId="0" fontId="8" borderId="13" applyNumberFormat="0" applyFont="1" applyFill="0" applyBorder="1" applyAlignment="1" applyProtection="0">
      <alignment horizontal="center" vertical="bottom"/>
    </xf>
    <xf numFmtId="49" fontId="7" borderId="8" applyNumberFormat="1" applyFont="1" applyFill="0" applyBorder="1" applyAlignment="1" applyProtection="0">
      <alignment vertical="bottom"/>
    </xf>
    <xf numFmtId="0" fontId="7" borderId="9" applyNumberFormat="0" applyFont="1" applyFill="0" applyBorder="1" applyAlignment="1" applyProtection="0">
      <alignment vertical="bottom"/>
    </xf>
    <xf numFmtId="0" fontId="7" borderId="10" applyNumberFormat="0" applyFont="1" applyFill="0" applyBorder="1" applyAlignment="1" applyProtection="0">
      <alignment vertical="bottom"/>
    </xf>
    <xf numFmtId="49" fontId="7" borderId="8" applyNumberFormat="1" applyFont="1" applyFill="0" applyBorder="1" applyAlignment="1" applyProtection="0">
      <alignment horizontal="center" vertical="bottom"/>
    </xf>
    <xf numFmtId="0" fontId="7" borderId="9" applyNumberFormat="0" applyFont="1" applyFill="0" applyBorder="1" applyAlignment="1" applyProtection="0">
      <alignment horizontal="center" vertical="bottom"/>
    </xf>
    <xf numFmtId="0" fontId="7" borderId="10" applyNumberFormat="0" applyFont="1" applyFill="0" applyBorder="1" applyAlignment="1" applyProtection="0">
      <alignment horizontal="center" vertical="bottom"/>
    </xf>
    <xf numFmtId="0" fontId="8" borderId="11" applyNumberFormat="0" applyFont="1" applyFill="0" applyBorder="1" applyAlignment="1" applyProtection="0">
      <alignment horizontal="center" vertical="bottom"/>
    </xf>
    <xf numFmtId="0" fontId="0" borderId="1" applyNumberFormat="0" applyFont="1" applyFill="0" applyBorder="1" applyAlignment="1" applyProtection="0">
      <alignment vertical="bottom"/>
    </xf>
    <xf numFmtId="49" fontId="8" borderId="8" applyNumberFormat="1" applyFont="1" applyFill="0" applyBorder="1" applyAlignment="1" applyProtection="0">
      <alignment vertical="bottom"/>
    </xf>
    <xf numFmtId="0" fontId="8" borderId="9" applyNumberFormat="0" applyFont="1" applyFill="0" applyBorder="1" applyAlignment="1" applyProtection="0">
      <alignment vertical="bottom"/>
    </xf>
    <xf numFmtId="0" fontId="8" borderId="10" applyNumberFormat="0" applyFont="1" applyFill="0" applyBorder="1" applyAlignment="1" applyProtection="0">
      <alignment vertical="bottom"/>
    </xf>
    <xf numFmtId="0" fontId="0" applyNumberFormat="1" applyFont="1" applyFill="0" applyBorder="0" applyAlignment="1" applyProtection="0">
      <alignment vertical="bottom"/>
    </xf>
    <xf numFmtId="49" fontId="8" fillId="9" borderId="1" applyNumberFormat="1" applyFont="1" applyFill="1" applyBorder="1" applyAlignment="1" applyProtection="0">
      <alignment vertical="bottom" wrapText="1"/>
    </xf>
    <xf numFmtId="49" fontId="8" borderId="1" applyNumberFormat="1" applyFont="1" applyFill="0" applyBorder="1" applyAlignment="1" applyProtection="0">
      <alignment vertical="bottom"/>
    </xf>
    <xf numFmtId="49" fontId="7" borderId="1" applyNumberFormat="1" applyFont="1" applyFill="0" applyBorder="1" applyAlignment="1" applyProtection="0">
      <alignment vertical="bottom"/>
    </xf>
    <xf numFmtId="49" fontId="8" fillId="9" borderId="8" applyNumberFormat="1" applyFont="1" applyFill="1" applyBorder="1" applyAlignment="1" applyProtection="0">
      <alignment vertical="bottom" wrapText="1"/>
    </xf>
    <xf numFmtId="0" fontId="8" fillId="9" borderId="10" applyNumberFormat="0" applyFont="1" applyFill="1" applyBorder="1" applyAlignment="1" applyProtection="0">
      <alignment vertical="bottom" wrapText="1"/>
    </xf>
    <xf numFmtId="49" fontId="8" fillId="9" borderId="11" applyNumberFormat="1" applyFont="1" applyFill="1" applyBorder="1" applyAlignment="1" applyProtection="0">
      <alignment horizontal="center" vertical="bottom" wrapText="1"/>
    </xf>
    <xf numFmtId="0" fontId="8" fillId="9" borderId="13" applyNumberFormat="0" applyFont="1" applyFill="1" applyBorder="1" applyAlignment="1" applyProtection="0">
      <alignment horizontal="center" vertical="bottom" wrapText="1"/>
    </xf>
    <xf numFmtId="0" fontId="0" borderId="2" applyNumberFormat="0" applyFont="1" applyFill="0" applyBorder="1" applyAlignment="1" applyProtection="0">
      <alignment vertical="bottom"/>
    </xf>
    <xf numFmtId="0" fontId="0" borderId="14"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e7e6e6"/>
      <rgbColor rgb="ffed7d31"/>
      <rgbColor rgb="ffffff00"/>
      <rgbColor rgb="ff9cc2e5"/>
      <rgbColor rgb="ff70ad47"/>
      <rgbColor rgb="ffaaaaaa"/>
      <rgbColor rgb="ffff0000"/>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40</v>
      </c>
      <c r="C11" s="3"/>
      <c r="D11" s="3"/>
    </row>
    <row r="12">
      <c r="B12" s="4"/>
      <c r="C12" t="s" s="4">
        <v>5</v>
      </c>
      <c r="D12" t="s" s="5">
        <v>40</v>
      </c>
    </row>
    <row r="13">
      <c r="B13" t="s" s="3">
        <v>82</v>
      </c>
      <c r="C13" s="3"/>
      <c r="D13" s="3"/>
    </row>
    <row r="14">
      <c r="B14" s="4"/>
      <c r="C14" t="s" s="4">
        <v>5</v>
      </c>
      <c r="D14" t="s" s="5">
        <v>82</v>
      </c>
    </row>
    <row r="15">
      <c r="B15" t="s" s="3">
        <v>53</v>
      </c>
      <c r="C15" s="3"/>
      <c r="D15" s="3"/>
    </row>
    <row r="16">
      <c r="B16" s="4"/>
      <c r="C16" t="s" s="4">
        <v>5</v>
      </c>
      <c r="D16" t="s" s="5">
        <v>53</v>
      </c>
    </row>
  </sheetData>
  <mergeCells count="1">
    <mergeCell ref="B3:D3"/>
  </mergeCells>
  <hyperlinks>
    <hyperlink ref="D10" location="'ÇİZERGE'!R1C1" tooltip="" display="ÇİZERGE"/>
    <hyperlink ref="D12" location="'OFİS'!R1C1" tooltip="" display="OFİS"/>
    <hyperlink ref="D14" location="'İMALATHANE '!R1C1" tooltip="" display="İMALATHANE "/>
    <hyperlink ref="D16" location="'IŞIKLAR'!R1C1" tooltip="" display="IŞIKLAR"/>
  </hyperlinks>
</worksheet>
</file>

<file path=xl/worksheets/sheet2.xml><?xml version="1.0" encoding="utf-8"?>
<worksheet xmlns:r="http://schemas.openxmlformats.org/officeDocument/2006/relationships" xmlns="http://schemas.openxmlformats.org/spreadsheetml/2006/main">
  <dimension ref="A1:AC28"/>
  <sheetViews>
    <sheetView workbookViewId="0" showGridLines="0" defaultGridColor="1"/>
  </sheetViews>
  <sheetFormatPr defaultColWidth="8.83333" defaultRowHeight="15" customHeight="1" outlineLevelRow="0" outlineLevelCol="0"/>
  <cols>
    <col min="1" max="1" width="6.35156" style="6" customWidth="1"/>
    <col min="2" max="2" width="22.5" style="6" customWidth="1"/>
    <col min="3" max="9" width="14.1719" style="6" customWidth="1"/>
    <col min="10" max="10" width="10" style="6" customWidth="1"/>
    <col min="11" max="11" width="10.5" style="6" customWidth="1"/>
    <col min="12" max="12" width="8.67188" style="6" customWidth="1"/>
    <col min="13" max="13" width="14.1719" style="6" customWidth="1"/>
    <col min="14" max="14" width="12.5" style="6" customWidth="1"/>
    <col min="15" max="15" width="11.3516" style="6" customWidth="1"/>
    <col min="16" max="16" width="9.17188" style="6" customWidth="1"/>
    <col min="17" max="17" width="9" style="6" customWidth="1"/>
    <col min="18" max="18" width="9.35156" style="6" customWidth="1"/>
    <col min="19" max="19" width="9" style="6" customWidth="1"/>
    <col min="20" max="20" width="9.5" style="6" customWidth="1"/>
    <col min="21" max="21" width="9.35156" style="6" customWidth="1"/>
    <col min="22" max="22" width="9.5" style="6" customWidth="1"/>
    <col min="23" max="23" width="9.67188" style="6" customWidth="1"/>
    <col min="24" max="24" width="9" style="6" customWidth="1"/>
    <col min="25" max="25" width="8.35156" style="6" customWidth="1"/>
    <col min="26" max="26" width="9.5" style="6" customWidth="1"/>
    <col min="27" max="27" width="10.6719" style="6" customWidth="1"/>
    <col min="28" max="29" width="14.1719" style="6" customWidth="1"/>
    <col min="30" max="16384" width="8.85156" style="6" customWidth="1"/>
  </cols>
  <sheetData>
    <row r="1" ht="48" customHeight="1">
      <c r="A1" t="s" s="7">
        <v>6</v>
      </c>
      <c r="B1" t="s" s="7">
        <v>7</v>
      </c>
      <c r="C1" t="s" s="7">
        <v>8</v>
      </c>
      <c r="D1" t="s" s="7">
        <v>9</v>
      </c>
      <c r="E1" t="s" s="7">
        <v>10</v>
      </c>
      <c r="F1" t="s" s="7">
        <v>11</v>
      </c>
      <c r="G1" t="s" s="7">
        <v>12</v>
      </c>
      <c r="H1" t="s" s="7">
        <v>13</v>
      </c>
      <c r="I1" t="s" s="7">
        <v>14</v>
      </c>
      <c r="J1" t="s" s="7">
        <v>15</v>
      </c>
      <c r="K1" t="s" s="7">
        <v>16</v>
      </c>
      <c r="L1" t="s" s="7">
        <v>17</v>
      </c>
      <c r="M1" t="s" s="7">
        <v>18</v>
      </c>
      <c r="N1" t="s" s="7">
        <v>19</v>
      </c>
      <c r="O1" t="s" s="7">
        <v>20</v>
      </c>
      <c r="P1" t="s" s="7">
        <v>21</v>
      </c>
      <c r="Q1" t="s" s="7">
        <v>22</v>
      </c>
      <c r="R1" t="s" s="7">
        <v>23</v>
      </c>
      <c r="S1" t="s" s="7">
        <v>24</v>
      </c>
      <c r="T1" t="s" s="7">
        <v>25</v>
      </c>
      <c r="U1" t="s" s="7">
        <v>26</v>
      </c>
      <c r="V1" t="s" s="7">
        <v>27</v>
      </c>
      <c r="W1" t="s" s="7">
        <v>28</v>
      </c>
      <c r="X1" t="s" s="7">
        <v>29</v>
      </c>
      <c r="Y1" t="s" s="7">
        <v>30</v>
      </c>
      <c r="Z1" t="s" s="7">
        <v>31</v>
      </c>
      <c r="AA1" t="s" s="7">
        <v>32</v>
      </c>
      <c r="AB1" t="s" s="7">
        <v>33</v>
      </c>
      <c r="AC1" t="s" s="7">
        <v>34</v>
      </c>
    </row>
    <row r="2" ht="15" customHeight="1">
      <c r="A2" s="8">
        <v>1</v>
      </c>
      <c r="B2" t="s" s="9">
        <v>35</v>
      </c>
      <c r="C2" t="s" s="9">
        <v>36</v>
      </c>
      <c r="D2" s="10">
        <v>29500</v>
      </c>
      <c r="E2" s="10">
        <v>4000</v>
      </c>
      <c r="F2" s="10"/>
      <c r="G2" s="10"/>
      <c r="H2" s="10" cm="1">
        <f t="array" ref="H2">D2+E2+F2+G2</f>
        <v>33500</v>
      </c>
      <c r="I2" s="11">
        <v>36856</v>
      </c>
      <c r="J2" s="12" cm="1">
        <f t="array" ref="J2">DATEDIF(I2,TODAY(),"Y")</f>
        <v>25</v>
      </c>
      <c r="K2" s="13">
        <v>45800</v>
      </c>
      <c r="L2" s="12" cm="1">
        <f t="array" ref="L2">DATEDIF(K2,TODAY(),"Y")</f>
        <v>0</v>
      </c>
      <c r="M2" s="14">
        <v>0</v>
      </c>
      <c r="N2" s="15"/>
      <c r="O2" s="14" cm="1">
        <f t="array" ref="O2">M2+N2</f>
        <v>0</v>
      </c>
      <c r="P2" s="16"/>
      <c r="Q2" s="16"/>
      <c r="R2" s="16"/>
      <c r="S2" s="16"/>
      <c r="T2" s="16"/>
      <c r="U2" s="16"/>
      <c r="V2" s="16"/>
      <c r="W2" s="16"/>
      <c r="X2" s="16"/>
      <c r="Y2" s="16"/>
      <c r="Z2" s="16"/>
      <c r="AA2" s="16"/>
      <c r="AB2" s="17" cm="1">
        <f t="array" ref="AB2">SUM(P2:AA2)</f>
        <v>0</v>
      </c>
      <c r="AC2" s="17" cm="1">
        <f t="array" ref="AC2">O2-AB2</f>
        <v>0</v>
      </c>
    </row>
    <row r="3" ht="15" customHeight="1">
      <c r="A3" s="8">
        <v>2</v>
      </c>
      <c r="B3" t="s" s="9">
        <v>37</v>
      </c>
      <c r="C3" t="s" s="9">
        <v>36</v>
      </c>
      <c r="D3" s="10">
        <v>42000</v>
      </c>
      <c r="E3" s="10">
        <v>8000</v>
      </c>
      <c r="F3" s="10"/>
      <c r="G3" s="10"/>
      <c r="H3" s="10" cm="1">
        <f t="array" ref="H3">D3+E3+F3+G3</f>
        <v>50000</v>
      </c>
      <c r="I3" s="11">
        <v>25600</v>
      </c>
      <c r="J3" s="12" cm="1">
        <f t="array" ref="J3">DATEDIF(I3,TODAY(),"Y")</f>
        <v>56</v>
      </c>
      <c r="K3" s="13">
        <v>42790</v>
      </c>
      <c r="L3" s="12" cm="1">
        <f t="array" ref="L3">DATEDIF(K3,TODAY(),"Y")</f>
        <v>9</v>
      </c>
      <c r="M3" s="14">
        <v>0.5</v>
      </c>
      <c r="N3" s="14">
        <v>20</v>
      </c>
      <c r="O3" s="14" cm="1">
        <f t="array" ref="O3">M3+N3</f>
        <v>20.5</v>
      </c>
      <c r="P3" s="18">
        <v>5</v>
      </c>
      <c r="Q3" s="16"/>
      <c r="R3" s="18">
        <v>5</v>
      </c>
      <c r="S3" s="16"/>
      <c r="T3" s="16"/>
      <c r="U3" s="16"/>
      <c r="V3" s="16"/>
      <c r="W3" s="16"/>
      <c r="X3" s="16"/>
      <c r="Y3" s="16"/>
      <c r="Z3" s="16"/>
      <c r="AA3" s="16"/>
      <c r="AB3" s="17" cm="1">
        <f t="array" ref="AB3">SUM(P3:AA3)</f>
        <v>10</v>
      </c>
      <c r="AC3" s="17" cm="1">
        <f t="array" ref="AC3">O3-AB3</f>
        <v>10.5</v>
      </c>
    </row>
    <row r="4" ht="15" customHeight="1">
      <c r="A4" s="8">
        <v>3</v>
      </c>
      <c r="B4" t="s" s="9">
        <v>38</v>
      </c>
      <c r="C4" t="s" s="9">
        <v>36</v>
      </c>
      <c r="D4" s="10">
        <v>31000</v>
      </c>
      <c r="E4" s="10">
        <v>4000</v>
      </c>
      <c r="F4" s="10"/>
      <c r="G4" s="10"/>
      <c r="H4" s="10" cm="1">
        <f t="array" ref="H4">D4+E4+F4+G4</f>
        <v>35000</v>
      </c>
      <c r="I4" s="11">
        <v>36526</v>
      </c>
      <c r="J4" s="12" cm="1">
        <f t="array" ref="J4">DATEDIF(I4,TODAY(),"Y")</f>
        <v>26</v>
      </c>
      <c r="K4" s="13">
        <v>45146</v>
      </c>
      <c r="L4" s="12" cm="1">
        <f t="array" ref="L4">DATEDIF(K4,TODAY(),"Y")</f>
        <v>2</v>
      </c>
      <c r="M4" s="14">
        <v>7</v>
      </c>
      <c r="N4" s="15"/>
      <c r="O4" s="14" cm="1">
        <f t="array" ref="O4">M4+N4</f>
        <v>7</v>
      </c>
      <c r="P4" s="18">
        <v>1</v>
      </c>
      <c r="Q4" s="18">
        <v>1</v>
      </c>
      <c r="R4" s="18">
        <v>3</v>
      </c>
      <c r="S4" s="16"/>
      <c r="T4" s="16"/>
      <c r="U4" s="16"/>
      <c r="V4" s="16"/>
      <c r="W4" s="16"/>
      <c r="X4" s="16"/>
      <c r="Y4" s="16"/>
      <c r="Z4" s="16"/>
      <c r="AA4" s="16"/>
      <c r="AB4" s="17" cm="1">
        <f t="array" ref="AB4">SUM(P4:AA4)</f>
        <v>5</v>
      </c>
      <c r="AC4" s="17" cm="1">
        <f t="array" ref="AC4">O4-AB4</f>
        <v>2</v>
      </c>
    </row>
    <row r="5" ht="15" customHeight="1">
      <c r="A5" s="8">
        <v>4</v>
      </c>
      <c r="B5" t="s" s="9">
        <v>39</v>
      </c>
      <c r="C5" t="s" s="9">
        <v>40</v>
      </c>
      <c r="D5" s="10">
        <v>37000</v>
      </c>
      <c r="E5" s="10">
        <v>8000</v>
      </c>
      <c r="F5" s="10"/>
      <c r="G5" s="10">
        <v>2500</v>
      </c>
      <c r="H5" s="10" cm="1">
        <f t="array" ref="H5">D5+E5+F5+G5</f>
        <v>47500</v>
      </c>
      <c r="I5" s="11">
        <v>29893</v>
      </c>
      <c r="J5" s="12" cm="1">
        <f t="array" ref="J5">DATEDIF(I5,TODAY(),"Y")</f>
        <v>44</v>
      </c>
      <c r="K5" s="13">
        <v>45677</v>
      </c>
      <c r="L5" s="12" cm="1">
        <f t="array" ref="L5">DATEDIF(K5,TODAY(),"Y")</f>
        <v>1</v>
      </c>
      <c r="M5" s="14">
        <v>0</v>
      </c>
      <c r="N5" s="14">
        <v>14</v>
      </c>
      <c r="O5" s="14" cm="1">
        <f t="array" ref="O5">M5+N5</f>
        <v>14</v>
      </c>
      <c r="P5" s="16"/>
      <c r="Q5" s="16"/>
      <c r="R5" s="16"/>
      <c r="S5" s="16"/>
      <c r="T5" s="16"/>
      <c r="U5" s="16"/>
      <c r="V5" s="16"/>
      <c r="W5" s="16"/>
      <c r="X5" s="16"/>
      <c r="Y5" s="16"/>
      <c r="Z5" s="16"/>
      <c r="AA5" s="16"/>
      <c r="AB5" s="17" cm="1">
        <f t="array" ref="AB5">SUM(P5:AA5)</f>
        <v>0</v>
      </c>
      <c r="AC5" s="17" cm="1">
        <f t="array" ref="AC5">O5-AB5</f>
        <v>14</v>
      </c>
    </row>
    <row r="6" ht="15" customHeight="1">
      <c r="A6" s="8">
        <v>5</v>
      </c>
      <c r="B6" t="s" s="9">
        <v>41</v>
      </c>
      <c r="C6" t="s" s="9">
        <v>40</v>
      </c>
      <c r="D6" s="10">
        <v>46000</v>
      </c>
      <c r="E6" s="10">
        <v>8000</v>
      </c>
      <c r="F6" s="10"/>
      <c r="G6" s="10">
        <v>6000</v>
      </c>
      <c r="H6" s="10" cm="1">
        <f t="array" ref="H6">D6+E6+F6+G6</f>
        <v>60000</v>
      </c>
      <c r="I6" s="11">
        <v>34446</v>
      </c>
      <c r="J6" s="12" cm="1">
        <f t="array" ref="J6">DATEDIF(I6,TODAY(),"Y")</f>
        <v>32</v>
      </c>
      <c r="K6" s="13">
        <v>44341</v>
      </c>
      <c r="L6" s="12" cm="1">
        <f t="array" ref="L6">DATEDIF(K6,TODAY(),"Y")</f>
        <v>4</v>
      </c>
      <c r="M6" s="14">
        <v>11</v>
      </c>
      <c r="N6" s="15"/>
      <c r="O6" s="14" cm="1">
        <f t="array" ref="O6">M6+N6</f>
        <v>11</v>
      </c>
      <c r="P6" s="16"/>
      <c r="Q6" s="18">
        <v>1</v>
      </c>
      <c r="R6" s="18">
        <v>1.5</v>
      </c>
      <c r="S6" s="16"/>
      <c r="T6" s="16"/>
      <c r="U6" s="16"/>
      <c r="V6" s="16"/>
      <c r="W6" s="16"/>
      <c r="X6" s="16"/>
      <c r="Y6" s="16"/>
      <c r="Z6" s="16"/>
      <c r="AA6" s="16"/>
      <c r="AB6" s="17" cm="1">
        <f t="array" ref="AB6">SUM(P6:AA6)</f>
        <v>2.5</v>
      </c>
      <c r="AC6" s="17" cm="1">
        <f t="array" ref="AC6">O6-AB6</f>
        <v>8.5</v>
      </c>
    </row>
    <row r="7" ht="15" customHeight="1">
      <c r="A7" s="8">
        <v>6</v>
      </c>
      <c r="B7" t="s" s="9">
        <v>42</v>
      </c>
      <c r="C7" t="s" s="9">
        <v>36</v>
      </c>
      <c r="D7" s="10">
        <v>30500</v>
      </c>
      <c r="E7" s="10">
        <v>8000</v>
      </c>
      <c r="F7" s="10"/>
      <c r="G7" s="10"/>
      <c r="H7" s="10" cm="1">
        <f t="array" ref="H7">D7+E7+F7+G7</f>
        <v>38500</v>
      </c>
      <c r="I7" s="11">
        <v>25720</v>
      </c>
      <c r="J7" s="12" cm="1">
        <f t="array" ref="J7">DATEDIF(I7,TODAY(),"Y")</f>
        <v>55</v>
      </c>
      <c r="K7" s="13">
        <v>43306</v>
      </c>
      <c r="L7" s="12" cm="1">
        <f t="array" ref="L7">DATEDIF(K7,TODAY(),"Y")</f>
        <v>7</v>
      </c>
      <c r="M7" s="14">
        <v>11</v>
      </c>
      <c r="N7" s="15"/>
      <c r="O7" s="14" cm="1">
        <f t="array" ref="O7">M7+N7</f>
        <v>11</v>
      </c>
      <c r="P7" s="16"/>
      <c r="Q7" s="16"/>
      <c r="R7" s="18">
        <v>5.5</v>
      </c>
      <c r="S7" s="16"/>
      <c r="T7" s="16"/>
      <c r="U7" s="16"/>
      <c r="V7" s="16"/>
      <c r="W7" s="16"/>
      <c r="X7" s="16"/>
      <c r="Y7" s="16"/>
      <c r="Z7" s="16"/>
      <c r="AA7" s="16"/>
      <c r="AB7" s="17" cm="1">
        <f t="array" ref="AB7">SUM(P7:AA7)</f>
        <v>5.5</v>
      </c>
      <c r="AC7" s="17" cm="1">
        <f t="array" ref="AC7">O7-AB7</f>
        <v>5.5</v>
      </c>
    </row>
    <row r="8" ht="15" customHeight="1">
      <c r="A8" s="8">
        <v>7</v>
      </c>
      <c r="B8" t="s" s="9">
        <v>43</v>
      </c>
      <c r="C8" t="s" s="9">
        <v>36</v>
      </c>
      <c r="D8" s="10">
        <v>31500</v>
      </c>
      <c r="E8" s="10">
        <v>3000</v>
      </c>
      <c r="F8" s="10"/>
      <c r="G8" s="10"/>
      <c r="H8" s="10" cm="1">
        <f t="array" ref="H8">D8+E8+F8+G8</f>
        <v>34500</v>
      </c>
      <c r="I8" s="11">
        <v>37799</v>
      </c>
      <c r="J8" s="12" cm="1">
        <f t="array" ref="J8">DATEDIF(I8,TODAY(),"Y")</f>
        <v>22</v>
      </c>
      <c r="K8" s="13">
        <v>45369</v>
      </c>
      <c r="L8" s="12" cm="1">
        <f t="array" ref="L8">DATEDIF(K8,TODAY(),"Y")</f>
        <v>2</v>
      </c>
      <c r="M8" s="14">
        <v>3.5</v>
      </c>
      <c r="N8" s="14">
        <v>14</v>
      </c>
      <c r="O8" s="14" cm="1">
        <f t="array" ref="O8">M8+N8</f>
        <v>17.5</v>
      </c>
      <c r="P8" s="18">
        <v>1.5</v>
      </c>
      <c r="Q8" s="16"/>
      <c r="R8" s="18">
        <v>1.5</v>
      </c>
      <c r="S8" s="16"/>
      <c r="T8" s="16"/>
      <c r="U8" s="16"/>
      <c r="V8" s="16"/>
      <c r="W8" s="16"/>
      <c r="X8" s="16"/>
      <c r="Y8" s="16"/>
      <c r="Z8" s="16"/>
      <c r="AA8" s="16"/>
      <c r="AB8" s="17" cm="1">
        <f t="array" ref="AB8">SUM(P8:AA8)</f>
        <v>3</v>
      </c>
      <c r="AC8" s="17" cm="1">
        <f t="array" ref="AC8">O8-AB8</f>
        <v>14.5</v>
      </c>
    </row>
    <row r="9" ht="15" customHeight="1">
      <c r="A9" s="8">
        <v>8</v>
      </c>
      <c r="B9" t="s" s="9">
        <v>44</v>
      </c>
      <c r="C9" t="s" s="9">
        <v>36</v>
      </c>
      <c r="D9" s="10">
        <v>31000</v>
      </c>
      <c r="E9" s="10">
        <v>1500</v>
      </c>
      <c r="F9" s="10"/>
      <c r="G9" s="10"/>
      <c r="H9" s="10" cm="1">
        <f t="array" ref="H9">D9+E9+F9+G9</f>
        <v>32500</v>
      </c>
      <c r="I9" s="11">
        <v>28783</v>
      </c>
      <c r="J9" s="12" cm="1">
        <f t="array" ref="J9">DATEDIF(I9,TODAY(),"Y")</f>
        <v>47</v>
      </c>
      <c r="K9" s="13">
        <v>45859</v>
      </c>
      <c r="L9" s="12" cm="1">
        <f t="array" ref="L9">DATEDIF(K9,TODAY(),"Y")</f>
        <v>0</v>
      </c>
      <c r="M9" s="14">
        <v>0</v>
      </c>
      <c r="N9" s="15"/>
      <c r="O9" s="14" cm="1">
        <f t="array" ref="O9">M9+N9</f>
        <v>0</v>
      </c>
      <c r="P9" s="16"/>
      <c r="Q9" s="16"/>
      <c r="R9" s="16"/>
      <c r="S9" s="16"/>
      <c r="T9" s="16"/>
      <c r="U9" s="16"/>
      <c r="V9" s="16"/>
      <c r="W9" s="16"/>
      <c r="X9" s="16"/>
      <c r="Y9" s="16"/>
      <c r="Z9" s="16"/>
      <c r="AA9" s="16"/>
      <c r="AB9" s="17" cm="1">
        <f t="array" ref="AB9">SUM(P9:AA9)</f>
        <v>0</v>
      </c>
      <c r="AC9" s="17" cm="1">
        <f t="array" ref="AC9">O9-AB9</f>
        <v>0</v>
      </c>
    </row>
    <row r="10" ht="15" customHeight="1">
      <c r="A10" s="19"/>
      <c r="B10" s="20"/>
      <c r="C10" s="20"/>
      <c r="D10" s="10"/>
      <c r="E10" s="10"/>
      <c r="F10" s="10"/>
      <c r="G10" s="10"/>
      <c r="H10" s="10"/>
      <c r="I10" s="11"/>
      <c r="J10" s="21"/>
      <c r="K10" s="13"/>
      <c r="L10" s="21"/>
      <c r="M10" s="15"/>
      <c r="N10" s="15"/>
      <c r="O10" s="15"/>
      <c r="P10" s="16"/>
      <c r="Q10" s="16"/>
      <c r="R10" s="16"/>
      <c r="S10" s="16"/>
      <c r="T10" s="16"/>
      <c r="U10" s="16"/>
      <c r="V10" s="16"/>
      <c r="W10" s="16"/>
      <c r="X10" s="16"/>
      <c r="Y10" s="16"/>
      <c r="Z10" s="16"/>
      <c r="AA10" s="16"/>
      <c r="AB10" s="22"/>
      <c r="AC10" s="22"/>
    </row>
    <row r="11" ht="15" customHeight="1">
      <c r="A11" s="8">
        <v>10</v>
      </c>
      <c r="B11" t="s" s="9">
        <v>45</v>
      </c>
      <c r="C11" t="s" s="9">
        <v>36</v>
      </c>
      <c r="D11" s="10">
        <v>30000</v>
      </c>
      <c r="E11" s="10">
        <v>2500</v>
      </c>
      <c r="F11" s="10"/>
      <c r="G11" s="10"/>
      <c r="H11" s="10" cm="1">
        <f t="array" ref="H11">D11+E11+F11+G11</f>
        <v>32500</v>
      </c>
      <c r="I11" s="11">
        <v>32874</v>
      </c>
      <c r="J11" s="12" cm="1">
        <f t="array" ref="J11">DATEDIF(I11,TODAY(),"Y")</f>
        <v>36</v>
      </c>
      <c r="K11" s="13">
        <v>45931</v>
      </c>
      <c r="L11" s="12" cm="1">
        <f t="array" ref="L11">DATEDIF(K11,TODAY(),"Y")</f>
        <v>0</v>
      </c>
      <c r="M11" s="14">
        <v>0</v>
      </c>
      <c r="N11" s="15"/>
      <c r="O11" s="14" cm="1">
        <f t="array" ref="O11">M11+N11</f>
        <v>0</v>
      </c>
      <c r="P11" s="16"/>
      <c r="Q11" s="16"/>
      <c r="R11" s="16"/>
      <c r="S11" s="16"/>
      <c r="T11" s="16"/>
      <c r="U11" s="16"/>
      <c r="V11" s="16"/>
      <c r="W11" s="16"/>
      <c r="X11" s="16"/>
      <c r="Y11" s="16"/>
      <c r="Z11" s="16"/>
      <c r="AA11" s="16"/>
      <c r="AB11" s="17" cm="1">
        <f t="array" ref="AB11">SUM(P11:AA11)</f>
        <v>0</v>
      </c>
      <c r="AC11" s="17" cm="1">
        <f t="array" ref="AC11">O11-AB11</f>
        <v>0</v>
      </c>
    </row>
    <row r="12" ht="15" customHeight="1">
      <c r="A12" s="8">
        <v>11</v>
      </c>
      <c r="B12" t="s" s="9">
        <v>46</v>
      </c>
      <c r="C12" t="s" s="9">
        <v>40</v>
      </c>
      <c r="D12" s="10">
        <v>49000</v>
      </c>
      <c r="E12" s="10">
        <v>10000</v>
      </c>
      <c r="F12" s="10"/>
      <c r="G12" s="10">
        <v>6000</v>
      </c>
      <c r="H12" s="10" cm="1">
        <f t="array" ref="H12">D12+E12+F12+G12</f>
        <v>65000</v>
      </c>
      <c r="I12" s="11">
        <v>33852</v>
      </c>
      <c r="J12" s="12" cm="1">
        <f t="array" ref="J12">DATEDIF(I12,TODAY(),"Y")</f>
        <v>33</v>
      </c>
      <c r="K12" s="13">
        <v>45985</v>
      </c>
      <c r="L12" s="12" cm="1">
        <f t="array" ref="L12">DATEDIF(K12,TODAY(),"Y")</f>
        <v>0</v>
      </c>
      <c r="M12" s="14">
        <v>0</v>
      </c>
      <c r="N12" s="15"/>
      <c r="O12" s="14" cm="1">
        <f t="array" ref="O12">M12+N12</f>
        <v>0</v>
      </c>
      <c r="P12" s="16"/>
      <c r="Q12" s="16"/>
      <c r="R12" s="18">
        <v>0.5</v>
      </c>
      <c r="S12" s="16"/>
      <c r="T12" s="16"/>
      <c r="U12" s="16"/>
      <c r="V12" s="16"/>
      <c r="W12" s="16"/>
      <c r="X12" s="16"/>
      <c r="Y12" s="16"/>
      <c r="Z12" s="16"/>
      <c r="AA12" s="16"/>
      <c r="AB12" s="17" cm="1">
        <f t="array" ref="AB12">SUM(P12:AA12)</f>
        <v>0.5</v>
      </c>
      <c r="AC12" s="17" cm="1">
        <f t="array" ref="AC12">O12-AB12</f>
        <v>-0.5</v>
      </c>
    </row>
    <row r="13" ht="15" customHeight="1">
      <c r="A13" s="8">
        <v>12</v>
      </c>
      <c r="B13" t="s" s="9">
        <v>47</v>
      </c>
      <c r="C13" t="s" s="9">
        <v>36</v>
      </c>
      <c r="D13" s="10">
        <v>31000</v>
      </c>
      <c r="E13" s="10">
        <v>4000</v>
      </c>
      <c r="F13" s="10"/>
      <c r="G13" s="10"/>
      <c r="H13" s="10" cm="1">
        <f t="array" ref="H13">D13+E13+F13+G13</f>
        <v>35000</v>
      </c>
      <c r="I13" s="11">
        <v>32975</v>
      </c>
      <c r="J13" s="12" cm="1">
        <f t="array" ref="J13">DATEDIF(I13,TODAY(),"Y")</f>
        <v>36</v>
      </c>
      <c r="K13" s="13">
        <v>45075</v>
      </c>
      <c r="L13" s="12" cm="1">
        <f t="array" ref="L13">DATEDIF(K13,TODAY(),"Y")</f>
        <v>2</v>
      </c>
      <c r="M13" s="14">
        <v>2</v>
      </c>
      <c r="N13" s="15"/>
      <c r="O13" s="14" cm="1">
        <f t="array" ref="O13">M13+N13</f>
        <v>2</v>
      </c>
      <c r="P13" s="18">
        <v>2</v>
      </c>
      <c r="Q13" s="16"/>
      <c r="R13" s="16"/>
      <c r="S13" s="16"/>
      <c r="T13" s="16"/>
      <c r="U13" s="16"/>
      <c r="V13" s="16"/>
      <c r="W13" s="16"/>
      <c r="X13" s="16"/>
      <c r="Y13" s="16"/>
      <c r="Z13" s="16"/>
      <c r="AA13" s="16"/>
      <c r="AB13" s="17" cm="1">
        <f t="array" ref="AB13">SUM(P13:AA13)</f>
        <v>2</v>
      </c>
      <c r="AC13" s="17" cm="1">
        <f t="array" ref="AC13">O13-AB13</f>
        <v>0</v>
      </c>
    </row>
    <row r="14" ht="15" customHeight="1">
      <c r="A14" s="8">
        <v>13</v>
      </c>
      <c r="B14" t="s" s="9">
        <v>48</v>
      </c>
      <c r="C14" t="s" s="9">
        <v>36</v>
      </c>
      <c r="D14" s="10">
        <v>39000</v>
      </c>
      <c r="E14" s="10">
        <v>8000</v>
      </c>
      <c r="F14" s="10"/>
      <c r="G14" s="10"/>
      <c r="H14" s="10" cm="1">
        <f t="array" ref="H14">D14+E14+F14+G14</f>
        <v>47000</v>
      </c>
      <c r="I14" s="11">
        <v>35620</v>
      </c>
      <c r="J14" s="12" cm="1">
        <f t="array" ref="J14">DATEDIF(I14,TODAY(),"Y")</f>
        <v>28</v>
      </c>
      <c r="K14" s="13">
        <v>45313</v>
      </c>
      <c r="L14" s="12" cm="1">
        <f t="array" ref="L14">DATEDIF(K14,TODAY(),"Y")</f>
        <v>2</v>
      </c>
      <c r="M14" s="14">
        <v>0</v>
      </c>
      <c r="N14" s="14">
        <v>14</v>
      </c>
      <c r="O14" s="14" cm="1">
        <f t="array" ref="O14">M14+N14</f>
        <v>14</v>
      </c>
      <c r="P14" s="16"/>
      <c r="Q14" s="18">
        <v>1</v>
      </c>
      <c r="R14" s="18">
        <v>5</v>
      </c>
      <c r="S14" s="16"/>
      <c r="T14" s="16"/>
      <c r="U14" s="16"/>
      <c r="V14" s="16"/>
      <c r="W14" s="16"/>
      <c r="X14" s="16"/>
      <c r="Y14" s="16"/>
      <c r="Z14" s="16"/>
      <c r="AA14" s="16"/>
      <c r="AB14" s="17" cm="1">
        <f t="array" ref="AB14">SUM(P14:AA14)</f>
        <v>6</v>
      </c>
      <c r="AC14" s="17" cm="1">
        <f t="array" ref="AC14">O14-AB14</f>
        <v>8</v>
      </c>
    </row>
    <row r="15" ht="15" customHeight="1">
      <c r="A15" s="8">
        <v>14</v>
      </c>
      <c r="B15" t="s" s="9">
        <v>49</v>
      </c>
      <c r="C15" t="s" s="9">
        <v>40</v>
      </c>
      <c r="D15" s="10">
        <v>37000</v>
      </c>
      <c r="E15" s="10">
        <v>8000</v>
      </c>
      <c r="F15" s="10"/>
      <c r="G15" s="10">
        <v>5000</v>
      </c>
      <c r="H15" s="10" cm="1">
        <f t="array" ref="H15">D15+E15+F15+G15</f>
        <v>50000</v>
      </c>
      <c r="I15" s="11">
        <v>32470</v>
      </c>
      <c r="J15" s="12" cm="1">
        <f t="array" ref="J15">DATEDIF(I15,TODAY(),"Y")</f>
        <v>37</v>
      </c>
      <c r="K15" s="13">
        <v>45397</v>
      </c>
      <c r="L15" s="12" cm="1">
        <f t="array" ref="L15">DATEDIF(K15,TODAY(),"Y")</f>
        <v>2</v>
      </c>
      <c r="M15" s="14">
        <v>0.5</v>
      </c>
      <c r="N15" s="14">
        <v>14</v>
      </c>
      <c r="O15" s="14" cm="1">
        <f t="array" ref="O15">M15+N15</f>
        <v>14.5</v>
      </c>
      <c r="P15" s="18">
        <v>1.5</v>
      </c>
      <c r="Q15" s="18">
        <v>0.5</v>
      </c>
      <c r="R15" s="18">
        <v>0.5</v>
      </c>
      <c r="S15" s="16"/>
      <c r="T15" s="16"/>
      <c r="U15" s="16"/>
      <c r="V15" s="16"/>
      <c r="W15" s="16"/>
      <c r="X15" s="16"/>
      <c r="Y15" s="16"/>
      <c r="Z15" s="16"/>
      <c r="AA15" s="16"/>
      <c r="AB15" s="17" cm="1">
        <f t="array" ref="AB15">SUM(P15:AA15)</f>
        <v>2.5</v>
      </c>
      <c r="AC15" s="17" cm="1">
        <f t="array" ref="AC15">O15-AB15</f>
        <v>12</v>
      </c>
    </row>
    <row r="16" ht="15" customHeight="1">
      <c r="A16" s="8">
        <v>15</v>
      </c>
      <c r="B16" t="s" s="9">
        <v>50</v>
      </c>
      <c r="C16" t="s" s="9">
        <v>40</v>
      </c>
      <c r="D16" s="10">
        <v>59000</v>
      </c>
      <c r="E16" s="10">
        <v>10000</v>
      </c>
      <c r="F16" s="10"/>
      <c r="G16" s="10">
        <v>6000</v>
      </c>
      <c r="H16" s="10" cm="1">
        <f t="array" ref="H16">D16+E16+F16+G16</f>
        <v>75000</v>
      </c>
      <c r="I16" s="11">
        <v>33410</v>
      </c>
      <c r="J16" s="12" cm="1">
        <f t="array" ref="J16">DATEDIF(I16,TODAY(),"Y")</f>
        <v>34</v>
      </c>
      <c r="K16" s="13">
        <v>42255</v>
      </c>
      <c r="L16" s="12" cm="1">
        <f t="array" ref="L16">DATEDIF(K16,TODAY(),"Y")</f>
        <v>10</v>
      </c>
      <c r="M16" s="14">
        <v>56.5</v>
      </c>
      <c r="N16" s="15"/>
      <c r="O16" s="14" cm="1">
        <f t="array" ref="O16">M16+N16</f>
        <v>56.5</v>
      </c>
      <c r="P16" s="18">
        <v>1</v>
      </c>
      <c r="Q16" s="18">
        <v>1</v>
      </c>
      <c r="R16" s="18">
        <v>1.5</v>
      </c>
      <c r="S16" s="16"/>
      <c r="T16" s="16"/>
      <c r="U16" s="16"/>
      <c r="V16" s="16"/>
      <c r="W16" s="16"/>
      <c r="X16" s="16"/>
      <c r="Y16" s="16"/>
      <c r="Z16" s="16"/>
      <c r="AA16" s="16"/>
      <c r="AB16" s="17" cm="1">
        <f t="array" ref="AB16">SUM(P16:AA16)</f>
        <v>3.5</v>
      </c>
      <c r="AC16" s="17" cm="1">
        <f t="array" ref="AC16">O16-AB16</f>
        <v>53</v>
      </c>
    </row>
    <row r="17" ht="15" customHeight="1">
      <c r="A17" s="8">
        <v>17</v>
      </c>
      <c r="B17" t="s" s="9">
        <v>51</v>
      </c>
      <c r="C17" t="s" s="9">
        <v>36</v>
      </c>
      <c r="D17" s="10">
        <v>70000</v>
      </c>
      <c r="E17" s="10">
        <v>10000</v>
      </c>
      <c r="F17" s="10"/>
      <c r="G17" s="10">
        <v>5000</v>
      </c>
      <c r="H17" s="10" cm="1">
        <f t="array" ref="H17">D17+E17+F17+G17</f>
        <v>85000</v>
      </c>
      <c r="I17" s="11">
        <v>28590</v>
      </c>
      <c r="J17" s="12" cm="1">
        <f t="array" ref="J17">DATEDIF(I17,TODAY(),"Y")</f>
        <v>48</v>
      </c>
      <c r="K17" s="13">
        <v>45978</v>
      </c>
      <c r="L17" s="12" cm="1">
        <f t="array" ref="L17">DATEDIF(K17,TODAY(),"Y")</f>
        <v>0</v>
      </c>
      <c r="M17" s="14">
        <v>0</v>
      </c>
      <c r="N17" s="15"/>
      <c r="O17" s="14" cm="1">
        <f t="array" ref="O17">M17+N17</f>
        <v>0</v>
      </c>
      <c r="P17" s="16"/>
      <c r="Q17" s="16"/>
      <c r="R17" s="16"/>
      <c r="S17" s="16"/>
      <c r="T17" s="16"/>
      <c r="U17" s="16"/>
      <c r="V17" s="16"/>
      <c r="W17" s="16"/>
      <c r="X17" s="16"/>
      <c r="Y17" s="16"/>
      <c r="Z17" s="16"/>
      <c r="AA17" s="16"/>
      <c r="AB17" s="17" cm="1">
        <f t="array" ref="AB17">SUM(P17:AA17)</f>
        <v>0</v>
      </c>
      <c r="AC17" s="17" cm="1">
        <f t="array" ref="AC17">O17-AB17</f>
        <v>0</v>
      </c>
    </row>
    <row r="18" ht="15" customHeight="1">
      <c r="A18" s="8">
        <v>18</v>
      </c>
      <c r="B18" t="s" s="9">
        <v>52</v>
      </c>
      <c r="C18" t="s" s="9">
        <v>53</v>
      </c>
      <c r="D18" s="10">
        <v>31000</v>
      </c>
      <c r="E18" s="10">
        <v>3000</v>
      </c>
      <c r="F18" s="10">
        <v>2000</v>
      </c>
      <c r="G18" s="10"/>
      <c r="H18" s="10" cm="1">
        <f t="array" ref="H18">D18+E18+F18+G18</f>
        <v>36000</v>
      </c>
      <c r="I18" s="13">
        <v>36526</v>
      </c>
      <c r="J18" s="12" cm="1">
        <f t="array" ref="J18">DATEDIF(I18,TODAY(),"Y")</f>
        <v>26</v>
      </c>
      <c r="K18" s="13">
        <v>45938</v>
      </c>
      <c r="L18" s="12" cm="1">
        <f t="array" ref="L18">DATEDIF(K18,TODAY(),"Y")</f>
        <v>0</v>
      </c>
      <c r="M18" s="14">
        <v>0</v>
      </c>
      <c r="N18" s="15"/>
      <c r="O18" s="14" cm="1">
        <f t="array" ref="O18">M18+N18</f>
        <v>0</v>
      </c>
      <c r="P18" s="16"/>
      <c r="Q18" s="16"/>
      <c r="R18" s="16"/>
      <c r="S18" s="16"/>
      <c r="T18" s="16"/>
      <c r="U18" s="16"/>
      <c r="V18" s="16"/>
      <c r="W18" s="16"/>
      <c r="X18" s="16"/>
      <c r="Y18" s="16"/>
      <c r="Z18" s="16"/>
      <c r="AA18" s="16"/>
      <c r="AB18" s="17" cm="1">
        <f t="array" ref="AB18">SUM(P18:AA18)</f>
        <v>0</v>
      </c>
      <c r="AC18" s="17" cm="1">
        <f t="array" ref="AC18">O18-AB18</f>
        <v>0</v>
      </c>
    </row>
    <row r="19" ht="15" customHeight="1">
      <c r="A19" s="8">
        <v>19</v>
      </c>
      <c r="B19" t="s" s="9">
        <v>54</v>
      </c>
      <c r="C19" t="s" s="9">
        <v>53</v>
      </c>
      <c r="D19" s="10">
        <v>32000</v>
      </c>
      <c r="E19" s="10">
        <v>8000</v>
      </c>
      <c r="F19" s="10">
        <v>2000</v>
      </c>
      <c r="G19" s="10"/>
      <c r="H19" s="10" cm="1">
        <f t="array" ref="H19">D19+E19+F19+G19</f>
        <v>42000</v>
      </c>
      <c r="I19" s="13">
        <v>36420</v>
      </c>
      <c r="J19" s="12" cm="1">
        <f t="array" ref="J19">DATEDIF(I19,TODAY(),"Y")</f>
        <v>26</v>
      </c>
      <c r="K19" s="13">
        <v>45287</v>
      </c>
      <c r="L19" s="12" cm="1">
        <f t="array" ref="L19">DATEDIF(K19,TODAY(),"Y")</f>
        <v>2</v>
      </c>
      <c r="M19" s="14">
        <v>16</v>
      </c>
      <c r="N19" s="15"/>
      <c r="O19" s="14" cm="1">
        <f t="array" ref="O19">M19+N19</f>
        <v>16</v>
      </c>
      <c r="P19" s="18">
        <v>1</v>
      </c>
      <c r="Q19" s="18">
        <v>3</v>
      </c>
      <c r="R19" s="16"/>
      <c r="S19" s="16"/>
      <c r="T19" s="16"/>
      <c r="U19" s="16"/>
      <c r="V19" s="16"/>
      <c r="W19" s="16"/>
      <c r="X19" s="16"/>
      <c r="Y19" s="16"/>
      <c r="Z19" s="16"/>
      <c r="AA19" s="16"/>
      <c r="AB19" s="17" cm="1">
        <f t="array" ref="AB19">SUM(P19:AA19)</f>
        <v>4</v>
      </c>
      <c r="AC19" s="17" cm="1">
        <f t="array" ref="AC19">O19-AB19</f>
        <v>12</v>
      </c>
    </row>
    <row r="20" ht="15" customHeight="1">
      <c r="A20" s="8">
        <v>20</v>
      </c>
      <c r="B20" t="s" s="9">
        <v>55</v>
      </c>
      <c r="C20" t="s" s="9">
        <v>53</v>
      </c>
      <c r="D20" s="10">
        <v>35000</v>
      </c>
      <c r="E20" s="10">
        <v>8000</v>
      </c>
      <c r="F20" s="10">
        <v>2000</v>
      </c>
      <c r="G20" s="10"/>
      <c r="H20" s="10" cm="1">
        <f t="array" ref="H20">D20+E20+F20+G20</f>
        <v>45000</v>
      </c>
      <c r="I20" s="13">
        <v>34377</v>
      </c>
      <c r="J20" s="12" cm="1">
        <f t="array" ref="J20">DATEDIF(I20,TODAY(),"Y")</f>
        <v>32</v>
      </c>
      <c r="K20" s="13">
        <v>44805</v>
      </c>
      <c r="L20" s="12" cm="1">
        <f t="array" ref="L20">DATEDIF(K20,TODAY(),"Y")</f>
        <v>3</v>
      </c>
      <c r="M20" s="14">
        <v>9</v>
      </c>
      <c r="N20" s="15"/>
      <c r="O20" s="14" cm="1">
        <f t="array" ref="O20">M20+N20</f>
        <v>9</v>
      </c>
      <c r="P20" s="16"/>
      <c r="Q20" s="16"/>
      <c r="R20" s="16"/>
      <c r="S20" s="16"/>
      <c r="T20" s="16"/>
      <c r="U20" s="16"/>
      <c r="V20" s="16"/>
      <c r="W20" s="16"/>
      <c r="X20" s="16"/>
      <c r="Y20" s="16"/>
      <c r="Z20" s="16"/>
      <c r="AA20" s="16"/>
      <c r="AB20" s="17" cm="1">
        <f t="array" ref="AB20">SUM(P20:AA20)</f>
        <v>0</v>
      </c>
      <c r="AC20" s="17" cm="1">
        <f t="array" ref="AC20">O20-AB20</f>
        <v>9</v>
      </c>
    </row>
    <row r="21" ht="15" customHeight="1">
      <c r="A21" s="8">
        <v>21</v>
      </c>
      <c r="B21" t="s" s="9">
        <v>56</v>
      </c>
      <c r="C21" t="s" s="9">
        <v>53</v>
      </c>
      <c r="D21" s="10">
        <v>32000</v>
      </c>
      <c r="E21" s="10">
        <v>8000</v>
      </c>
      <c r="F21" s="10">
        <v>2000</v>
      </c>
      <c r="G21" s="10"/>
      <c r="H21" s="10" cm="1">
        <f t="array" ref="H21">D21+E21+F21+G21</f>
        <v>42000</v>
      </c>
      <c r="I21" s="13">
        <v>35217</v>
      </c>
      <c r="J21" s="12" cm="1">
        <f t="array" ref="J21">DATEDIF(I21,TODAY(),"Y")</f>
        <v>29</v>
      </c>
      <c r="K21" s="13">
        <v>45985</v>
      </c>
      <c r="L21" s="12" cm="1">
        <f t="array" ref="L21">DATEDIF(K21,TODAY(),"Y")</f>
        <v>0</v>
      </c>
      <c r="M21" s="14">
        <v>0</v>
      </c>
      <c r="N21" s="15"/>
      <c r="O21" s="14" cm="1">
        <f t="array" ref="O21">M21+N21</f>
        <v>0</v>
      </c>
      <c r="P21" s="16"/>
      <c r="Q21" s="16"/>
      <c r="R21" s="16"/>
      <c r="S21" s="16"/>
      <c r="T21" s="16"/>
      <c r="U21" s="16"/>
      <c r="V21" s="16"/>
      <c r="W21" s="16"/>
      <c r="X21" s="16"/>
      <c r="Y21" s="16"/>
      <c r="Z21" s="16"/>
      <c r="AA21" s="16"/>
      <c r="AB21" s="17" cm="1">
        <f t="array" ref="AB21">SUM(P21:AA21)</f>
        <v>0</v>
      </c>
      <c r="AC21" s="17" cm="1">
        <f t="array" ref="AC21">O21-AB21</f>
        <v>0</v>
      </c>
    </row>
    <row r="22" ht="15" customHeight="1">
      <c r="A22" s="8">
        <v>22</v>
      </c>
      <c r="B22" t="s" s="9">
        <v>57</v>
      </c>
      <c r="C22" t="s" s="9">
        <v>53</v>
      </c>
      <c r="D22" s="10">
        <v>42000</v>
      </c>
      <c r="E22" s="10">
        <v>8000</v>
      </c>
      <c r="F22" s="10">
        <v>2000</v>
      </c>
      <c r="G22" s="10"/>
      <c r="H22" s="10" cm="1">
        <f t="array" ref="H22">D22+E22+F22+G22</f>
        <v>52000</v>
      </c>
      <c r="I22" s="13">
        <v>34376</v>
      </c>
      <c r="J22" s="12" cm="1">
        <f t="array" ref="J22">DATEDIF(I22,TODAY(),"Y")</f>
        <v>32</v>
      </c>
      <c r="K22" s="13">
        <v>44810</v>
      </c>
      <c r="L22" s="12" cm="1">
        <f t="array" ref="L22">DATEDIF(K22,TODAY(),"Y")</f>
        <v>3</v>
      </c>
      <c r="M22" s="14">
        <v>11</v>
      </c>
      <c r="N22" s="14">
        <v>3</v>
      </c>
      <c r="O22" s="14" cm="1">
        <f t="array" ref="O22">M22+N22</f>
        <v>14</v>
      </c>
      <c r="P22" s="16"/>
      <c r="Q22" s="18">
        <v>1</v>
      </c>
      <c r="R22" s="16"/>
      <c r="S22" s="16"/>
      <c r="T22" s="16"/>
      <c r="U22" s="16"/>
      <c r="V22" s="16"/>
      <c r="W22" s="16"/>
      <c r="X22" s="16"/>
      <c r="Y22" s="16"/>
      <c r="Z22" s="16"/>
      <c r="AA22" s="16"/>
      <c r="AB22" s="17" cm="1">
        <f t="array" ref="AB22">SUM(P22:AA22)</f>
        <v>1</v>
      </c>
      <c r="AC22" s="17" cm="1">
        <f t="array" ref="AC22">O22-AB22</f>
        <v>13</v>
      </c>
    </row>
    <row r="23" ht="15" customHeight="1">
      <c r="A23" s="8">
        <v>23</v>
      </c>
      <c r="B23" t="s" s="9">
        <v>58</v>
      </c>
      <c r="C23" t="s" s="9">
        <v>53</v>
      </c>
      <c r="D23" s="10">
        <v>31000</v>
      </c>
      <c r="E23" s="10">
        <v>3000</v>
      </c>
      <c r="F23" s="10">
        <v>2000</v>
      </c>
      <c r="G23" s="10"/>
      <c r="H23" s="10" cm="1">
        <f t="array" ref="H23">D23+E23+F23+G23</f>
        <v>36000</v>
      </c>
      <c r="I23" s="13">
        <v>36420</v>
      </c>
      <c r="J23" s="12" cm="1">
        <f t="array" ref="J23">DATEDIF(I23,TODAY(),"Y")</f>
        <v>26</v>
      </c>
      <c r="K23" s="13">
        <v>45918</v>
      </c>
      <c r="L23" s="12" cm="1">
        <f t="array" ref="L23">DATEDIF(K23,TODAY(),"Y")</f>
        <v>0</v>
      </c>
      <c r="M23" s="14">
        <v>0</v>
      </c>
      <c r="N23" s="15"/>
      <c r="O23" s="14" cm="1">
        <f t="array" ref="O23">M23+N23</f>
        <v>0</v>
      </c>
      <c r="P23" s="16"/>
      <c r="Q23" s="16"/>
      <c r="R23" s="16"/>
      <c r="S23" s="16"/>
      <c r="T23" s="16"/>
      <c r="U23" s="16"/>
      <c r="V23" s="16"/>
      <c r="W23" s="16"/>
      <c r="X23" s="16"/>
      <c r="Y23" s="16"/>
      <c r="Z23" s="16"/>
      <c r="AA23" s="16"/>
      <c r="AB23" s="17" cm="1">
        <f t="array" ref="AB23">SUM(P23:AA23)</f>
        <v>0</v>
      </c>
      <c r="AC23" s="17" cm="1">
        <f t="array" ref="AC23">O23-AB23</f>
        <v>0</v>
      </c>
    </row>
    <row r="24" ht="15" customHeight="1">
      <c r="A24" s="8">
        <v>24</v>
      </c>
      <c r="B24" t="s" s="9">
        <v>59</v>
      </c>
      <c r="C24" t="s" s="9">
        <v>53</v>
      </c>
      <c r="D24" s="10">
        <v>32000</v>
      </c>
      <c r="E24" s="10">
        <v>8000</v>
      </c>
      <c r="F24" s="10">
        <v>2000</v>
      </c>
      <c r="G24" s="10"/>
      <c r="H24" s="10" cm="1">
        <f t="array" ref="H24">D24+E24+F24+G24</f>
        <v>42000</v>
      </c>
      <c r="I24" s="13">
        <v>37184</v>
      </c>
      <c r="J24" s="12" cm="1">
        <f t="array" ref="J24">DATEDIF(I24,TODAY(),"Y")</f>
        <v>24</v>
      </c>
      <c r="K24" s="13">
        <v>45156</v>
      </c>
      <c r="L24" s="12" cm="1">
        <f t="array" ref="L24">DATEDIF(K24,TODAY(),"Y")</f>
        <v>2</v>
      </c>
      <c r="M24" s="14">
        <v>7</v>
      </c>
      <c r="N24" s="15"/>
      <c r="O24" s="14" cm="1">
        <f t="array" ref="O24">M24+N24</f>
        <v>7</v>
      </c>
      <c r="P24" s="16"/>
      <c r="Q24" s="16"/>
      <c r="R24" s="18">
        <v>5</v>
      </c>
      <c r="S24" s="18">
        <v>1</v>
      </c>
      <c r="T24" s="16"/>
      <c r="U24" s="16"/>
      <c r="V24" s="16"/>
      <c r="W24" s="16"/>
      <c r="X24" s="16"/>
      <c r="Y24" s="16"/>
      <c r="Z24" s="16"/>
      <c r="AA24" s="16"/>
      <c r="AB24" s="17" cm="1">
        <f t="array" ref="AB24">SUM(P24:AA24)</f>
        <v>6</v>
      </c>
      <c r="AC24" s="17" cm="1">
        <f t="array" ref="AC24">O24-AB24</f>
        <v>1</v>
      </c>
    </row>
    <row r="25" ht="15" customHeight="1">
      <c r="A25" s="8">
        <v>25</v>
      </c>
      <c r="B25" t="s" s="9">
        <v>60</v>
      </c>
      <c r="C25" t="s" s="9">
        <v>53</v>
      </c>
      <c r="D25" s="10">
        <v>46000</v>
      </c>
      <c r="E25" s="10">
        <v>8000</v>
      </c>
      <c r="F25" s="10">
        <v>2000</v>
      </c>
      <c r="G25" s="10"/>
      <c r="H25" s="10" cm="1">
        <f t="array" ref="H25">D25+E25+F25+G25</f>
        <v>56000</v>
      </c>
      <c r="I25" s="13">
        <v>34875</v>
      </c>
      <c r="J25" s="12" cm="1">
        <f t="array" ref="J25">DATEDIF(I25,TODAY(),"Y")</f>
        <v>30</v>
      </c>
      <c r="K25" s="13">
        <v>44246</v>
      </c>
      <c r="L25" s="12" cm="1">
        <f t="array" ref="L25">DATEDIF(K25,TODAY(),"Y")</f>
        <v>5</v>
      </c>
      <c r="M25" s="14">
        <v>18</v>
      </c>
      <c r="N25" s="14">
        <v>23</v>
      </c>
      <c r="O25" s="14" cm="1">
        <f t="array" ref="O25">M25+N25</f>
        <v>41</v>
      </c>
      <c r="P25" s="18">
        <v>0.5</v>
      </c>
      <c r="Q25" s="16"/>
      <c r="R25" s="16"/>
      <c r="S25" s="16"/>
      <c r="T25" s="16"/>
      <c r="U25" s="16"/>
      <c r="V25" s="16"/>
      <c r="W25" s="16"/>
      <c r="X25" s="16"/>
      <c r="Y25" s="16"/>
      <c r="Z25" s="16"/>
      <c r="AA25" s="16"/>
      <c r="AB25" s="17" cm="1">
        <f t="array" ref="AB25">SUM(P25:AA25)</f>
        <v>0.5</v>
      </c>
      <c r="AC25" s="17" cm="1">
        <f t="array" ref="AC25">O25-AB25</f>
        <v>40.5</v>
      </c>
    </row>
    <row r="26" ht="15" customHeight="1">
      <c r="A26" s="8">
        <v>26</v>
      </c>
      <c r="B26" t="s" s="9">
        <v>61</v>
      </c>
      <c r="C26" t="s" s="9">
        <v>53</v>
      </c>
      <c r="D26" s="10">
        <v>32000</v>
      </c>
      <c r="E26" s="10">
        <v>8000</v>
      </c>
      <c r="F26" s="10">
        <v>2000</v>
      </c>
      <c r="G26" s="10"/>
      <c r="H26" s="10" cm="1">
        <f t="array" ref="H26">D26+E26+F26+G26</f>
        <v>42000</v>
      </c>
      <c r="I26" s="13"/>
      <c r="J26" s="21"/>
      <c r="K26" s="13">
        <v>46035</v>
      </c>
      <c r="L26" s="12" cm="1">
        <f t="array" ref="L26">DATEDIF(K26,TODAY(),"Y")</f>
        <v>0</v>
      </c>
      <c r="M26" s="15"/>
      <c r="N26" s="15"/>
      <c r="O26" s="15"/>
      <c r="P26" s="16"/>
      <c r="Q26" s="16"/>
      <c r="R26" s="16"/>
      <c r="S26" s="16"/>
      <c r="T26" s="16"/>
      <c r="U26" s="16"/>
      <c r="V26" s="16"/>
      <c r="W26" s="16"/>
      <c r="X26" s="16"/>
      <c r="Y26" s="16"/>
      <c r="Z26" s="16"/>
      <c r="AA26" s="16"/>
      <c r="AB26" s="22"/>
      <c r="AC26" s="22"/>
    </row>
    <row r="27" ht="15" customHeight="1">
      <c r="A27" s="8">
        <v>27</v>
      </c>
      <c r="B27" t="s" s="9">
        <v>62</v>
      </c>
      <c r="C27" t="s" s="9">
        <v>53</v>
      </c>
      <c r="D27" s="10">
        <v>31000</v>
      </c>
      <c r="E27" s="10"/>
      <c r="F27" s="10">
        <v>2000</v>
      </c>
      <c r="G27" s="10"/>
      <c r="H27" s="10" cm="1">
        <f t="array" ref="H27">D27+E27+F27+G27</f>
        <v>33000</v>
      </c>
      <c r="I27" s="13"/>
      <c r="J27" s="21"/>
      <c r="K27" s="13">
        <v>46062</v>
      </c>
      <c r="L27" s="12" cm="1">
        <f t="array" ref="L27">DATEDIF(K27,TODAY(),"Y")</f>
        <v>0</v>
      </c>
      <c r="M27" s="15"/>
      <c r="N27" s="15"/>
      <c r="O27" s="15"/>
      <c r="P27" s="16"/>
      <c r="Q27" s="16"/>
      <c r="R27" s="16"/>
      <c r="S27" s="16"/>
      <c r="T27" s="16"/>
      <c r="U27" s="16"/>
      <c r="V27" s="16"/>
      <c r="W27" s="16"/>
      <c r="X27" s="16"/>
      <c r="Y27" s="16"/>
      <c r="Z27" s="16"/>
      <c r="AA27" s="16"/>
      <c r="AB27" s="22"/>
      <c r="AC27" s="22"/>
    </row>
    <row r="28" ht="15" customHeight="1">
      <c r="A28" s="8">
        <v>28</v>
      </c>
      <c r="B28" t="s" s="9">
        <v>63</v>
      </c>
      <c r="C28" t="s" s="9">
        <v>53</v>
      </c>
      <c r="D28" s="10">
        <v>31000</v>
      </c>
      <c r="E28" s="10">
        <v>2000</v>
      </c>
      <c r="F28" s="10"/>
      <c r="G28" s="10"/>
      <c r="H28" s="10" cm="1">
        <f t="array" ref="H28">D28+E28+F28+G28</f>
        <v>33000</v>
      </c>
      <c r="I28" s="13">
        <v>28130</v>
      </c>
      <c r="J28" s="12" cm="1">
        <f t="array" ref="J28">DATEDIF(I28,TODAY(),"Y")</f>
        <v>49</v>
      </c>
      <c r="K28" s="13">
        <v>46070</v>
      </c>
      <c r="L28" s="12" cm="1">
        <f t="array" ref="L28">DATEDIF(K28,TODAY(),"Y")</f>
        <v>0</v>
      </c>
      <c r="M28" s="15"/>
      <c r="N28" s="15"/>
      <c r="O28" s="15"/>
      <c r="P28" s="16"/>
      <c r="Q28" s="16"/>
      <c r="R28" s="16"/>
      <c r="S28" s="16"/>
      <c r="T28" s="16"/>
      <c r="U28" s="16"/>
      <c r="V28" s="16"/>
      <c r="W28" s="16"/>
      <c r="X28" s="16"/>
      <c r="Y28" s="16"/>
      <c r="Z28" s="16"/>
      <c r="AA28" s="16"/>
      <c r="AB28" s="22"/>
      <c r="AC28" s="2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A1:L32"/>
  <sheetViews>
    <sheetView workbookViewId="0" showGridLines="0" defaultGridColor="1"/>
  </sheetViews>
  <sheetFormatPr defaultColWidth="8.83333" defaultRowHeight="15" customHeight="1" outlineLevelRow="0" outlineLevelCol="0"/>
  <cols>
    <col min="1" max="8" width="8.85156" style="23" customWidth="1"/>
    <col min="9" max="9" width="21.6719" style="23" customWidth="1"/>
    <col min="10" max="12" width="8.85156" style="23" customWidth="1"/>
    <col min="13" max="16384" width="8.85156" style="23" customWidth="1"/>
  </cols>
  <sheetData>
    <row r="1" ht="15" customHeight="1">
      <c r="A1" t="s" s="24">
        <v>50</v>
      </c>
      <c r="B1" s="25"/>
      <c r="C1" s="26"/>
      <c r="D1" t="s" s="24">
        <v>64</v>
      </c>
      <c r="E1" s="25"/>
      <c r="F1" s="26"/>
      <c r="G1" t="s" s="24">
        <v>49</v>
      </c>
      <c r="H1" s="25"/>
      <c r="I1" s="26"/>
      <c r="J1" t="s" s="24">
        <v>65</v>
      </c>
      <c r="K1" s="25"/>
      <c r="L1" s="26"/>
    </row>
    <row r="2" ht="15" customHeight="1">
      <c r="A2" s="27"/>
      <c r="B2" s="28"/>
      <c r="C2" s="29"/>
      <c r="D2" s="27"/>
      <c r="E2" s="28"/>
      <c r="F2" s="29"/>
      <c r="G2" s="27"/>
      <c r="H2" s="28"/>
      <c r="I2" s="29"/>
      <c r="J2" s="27"/>
      <c r="K2" s="28"/>
      <c r="L2" s="29"/>
    </row>
    <row r="3" ht="62.45" customHeight="1">
      <c r="A3" t="s" s="30">
        <v>66</v>
      </c>
      <c r="B3" s="31"/>
      <c r="C3" s="32"/>
      <c r="D3" t="s" s="33">
        <v>67</v>
      </c>
      <c r="E3" s="34"/>
      <c r="F3" s="35"/>
      <c r="G3" t="s" s="30">
        <v>68</v>
      </c>
      <c r="H3" s="31"/>
      <c r="I3" s="32"/>
      <c r="J3" s="36">
        <v>45677</v>
      </c>
      <c r="K3" s="34"/>
      <c r="L3" s="35"/>
    </row>
    <row r="4" ht="39" customHeight="1">
      <c r="A4" t="s" s="37">
        <v>69</v>
      </c>
      <c r="B4" s="38"/>
      <c r="C4" s="39"/>
      <c r="D4" t="s" s="37">
        <v>70</v>
      </c>
      <c r="E4" s="38"/>
      <c r="F4" s="39"/>
      <c r="G4" t="s" s="37">
        <v>71</v>
      </c>
      <c r="H4" s="38"/>
      <c r="I4" s="39"/>
      <c r="J4" t="s" s="37">
        <v>72</v>
      </c>
      <c r="K4" s="38"/>
      <c r="L4" s="39"/>
    </row>
    <row r="5" ht="44.45" customHeight="1">
      <c r="A5" t="s" s="37">
        <v>73</v>
      </c>
      <c r="B5" s="38"/>
      <c r="C5" s="39"/>
      <c r="D5" t="s" s="40">
        <v>74</v>
      </c>
      <c r="E5" s="41"/>
      <c r="F5" s="42"/>
      <c r="G5" t="s" s="30">
        <v>75</v>
      </c>
      <c r="H5" s="31"/>
      <c r="I5" s="32"/>
      <c r="J5" t="s" s="43">
        <v>76</v>
      </c>
      <c r="K5" s="44"/>
      <c r="L5" s="45"/>
    </row>
    <row r="6" ht="69" customHeight="1">
      <c r="A6" t="s" s="24">
        <v>77</v>
      </c>
      <c r="B6" s="25"/>
      <c r="C6" s="26"/>
      <c r="D6" t="s" s="24">
        <v>46</v>
      </c>
      <c r="E6" s="25"/>
      <c r="F6" s="26"/>
      <c r="G6" s="46"/>
      <c r="H6" s="38"/>
      <c r="I6" s="39"/>
      <c r="J6" s="47"/>
      <c r="K6" s="47"/>
      <c r="L6" s="47"/>
    </row>
    <row r="7" ht="15" customHeight="1">
      <c r="A7" s="27"/>
      <c r="B7" s="28"/>
      <c r="C7" s="29"/>
      <c r="D7" s="27"/>
      <c r="E7" s="28"/>
      <c r="F7" s="29"/>
      <c r="G7" s="47"/>
      <c r="H7" s="47"/>
      <c r="I7" s="47"/>
      <c r="J7" s="47"/>
      <c r="K7" s="47"/>
      <c r="L7" s="47"/>
    </row>
    <row r="8" ht="13.55" customHeight="1">
      <c r="A8" t="s" s="33">
        <v>78</v>
      </c>
      <c r="B8" s="34"/>
      <c r="C8" s="35"/>
      <c r="D8" t="s" s="48">
        <v>79</v>
      </c>
      <c r="E8" s="49"/>
      <c r="F8" s="50"/>
      <c r="G8" s="47"/>
      <c r="H8" s="47"/>
      <c r="I8" s="47"/>
      <c r="J8" s="47"/>
      <c r="K8" s="47"/>
      <c r="L8" s="47"/>
    </row>
    <row r="9" ht="15" customHeight="1">
      <c r="A9" t="s" s="37">
        <v>80</v>
      </c>
      <c r="B9" s="38"/>
      <c r="C9" s="39"/>
      <c r="D9" t="s" s="48">
        <v>81</v>
      </c>
      <c r="E9" s="49"/>
      <c r="F9" s="50"/>
      <c r="G9" s="47"/>
      <c r="H9" s="47"/>
      <c r="I9" s="47"/>
      <c r="J9" s="47"/>
      <c r="K9" s="47"/>
      <c r="L9" s="47"/>
    </row>
    <row r="10" ht="15" customHeight="1">
      <c r="A10" t="s" s="40">
        <v>74</v>
      </c>
      <c r="B10" s="41"/>
      <c r="C10" s="42"/>
      <c r="D10" t="s" s="40">
        <v>74</v>
      </c>
      <c r="E10" s="41"/>
      <c r="F10" s="42"/>
      <c r="G10" s="47"/>
      <c r="H10" s="47"/>
      <c r="I10" s="47"/>
      <c r="J10" s="47"/>
      <c r="K10" s="47"/>
      <c r="L10" s="47"/>
    </row>
    <row r="11" ht="15" customHeight="1">
      <c r="A11" s="47"/>
      <c r="B11" s="47"/>
      <c r="C11" s="47"/>
      <c r="D11" s="47"/>
      <c r="E11" s="47"/>
      <c r="F11" s="47"/>
      <c r="G11" s="47"/>
      <c r="H11" s="47"/>
      <c r="I11" s="47"/>
      <c r="J11" s="47"/>
      <c r="K11" s="47"/>
      <c r="L11" s="47"/>
    </row>
    <row r="12" ht="15" customHeight="1">
      <c r="A12" s="47"/>
      <c r="B12" s="47"/>
      <c r="C12" s="47"/>
      <c r="D12" s="47"/>
      <c r="E12" s="47"/>
      <c r="F12" s="47"/>
      <c r="G12" s="47"/>
      <c r="H12" s="47"/>
      <c r="I12" s="47"/>
      <c r="J12" s="47"/>
      <c r="K12" s="47"/>
      <c r="L12" s="47"/>
    </row>
    <row r="13" ht="15" customHeight="1">
      <c r="A13" s="47"/>
      <c r="B13" s="47"/>
      <c r="C13" s="47"/>
      <c r="D13" s="47"/>
      <c r="E13" s="47"/>
      <c r="F13" s="47"/>
      <c r="G13" s="47"/>
      <c r="H13" s="47"/>
      <c r="I13" s="47"/>
      <c r="J13" s="47"/>
      <c r="K13" s="47"/>
      <c r="L13" s="47"/>
    </row>
    <row r="14" ht="15" customHeight="1">
      <c r="A14" s="47"/>
      <c r="B14" s="47"/>
      <c r="C14" s="47"/>
      <c r="D14" s="47"/>
      <c r="E14" s="47"/>
      <c r="F14" s="47"/>
      <c r="G14" s="47"/>
      <c r="H14" s="47"/>
      <c r="I14" s="47"/>
      <c r="J14" s="47"/>
      <c r="K14" s="47"/>
      <c r="L14" s="47"/>
    </row>
    <row r="15" ht="15" customHeight="1">
      <c r="A15" s="47"/>
      <c r="B15" s="47"/>
      <c r="C15" s="47"/>
      <c r="D15" s="47"/>
      <c r="E15" s="47"/>
      <c r="F15" s="47"/>
      <c r="G15" s="47"/>
      <c r="H15" s="47"/>
      <c r="I15" s="47"/>
      <c r="J15" s="47"/>
      <c r="K15" s="47"/>
      <c r="L15" s="47"/>
    </row>
    <row r="16" ht="15" customHeight="1">
      <c r="A16" s="47"/>
      <c r="B16" s="47"/>
      <c r="C16" s="47"/>
      <c r="D16" s="47"/>
      <c r="E16" s="47"/>
      <c r="F16" s="47"/>
      <c r="G16" s="47"/>
      <c r="H16" s="47"/>
      <c r="I16" s="47"/>
      <c r="J16" s="47"/>
      <c r="K16" s="47"/>
      <c r="L16" s="47"/>
    </row>
    <row r="17" ht="15" customHeight="1">
      <c r="A17" s="47"/>
      <c r="B17" s="47"/>
      <c r="C17" s="47"/>
      <c r="D17" s="47"/>
      <c r="E17" s="47"/>
      <c r="F17" s="47"/>
      <c r="G17" s="47"/>
      <c r="H17" s="47"/>
      <c r="I17" s="47"/>
      <c r="J17" s="47"/>
      <c r="K17" s="47"/>
      <c r="L17" s="47"/>
    </row>
    <row r="18" ht="15" customHeight="1">
      <c r="A18" s="47"/>
      <c r="B18" s="47"/>
      <c r="C18" s="47"/>
      <c r="D18" s="47"/>
      <c r="E18" s="47"/>
      <c r="F18" s="47"/>
      <c r="G18" s="47"/>
      <c r="H18" s="47"/>
      <c r="I18" s="47"/>
      <c r="J18" s="47"/>
      <c r="K18" s="47"/>
      <c r="L18" s="47"/>
    </row>
    <row r="19" ht="15" customHeight="1">
      <c r="A19" s="47"/>
      <c r="B19" s="47"/>
      <c r="C19" s="47"/>
      <c r="D19" s="47"/>
      <c r="E19" s="47"/>
      <c r="F19" s="47"/>
      <c r="G19" s="47"/>
      <c r="H19" s="47"/>
      <c r="I19" s="47"/>
      <c r="J19" s="47"/>
      <c r="K19" s="47"/>
      <c r="L19" s="47"/>
    </row>
    <row r="20" ht="15" customHeight="1">
      <c r="A20" s="47"/>
      <c r="B20" s="47"/>
      <c r="C20" s="47"/>
      <c r="D20" s="47"/>
      <c r="E20" s="47"/>
      <c r="F20" s="47"/>
      <c r="G20" s="47"/>
      <c r="H20" s="47"/>
      <c r="I20" s="47"/>
      <c r="J20" s="47"/>
      <c r="K20" s="47"/>
      <c r="L20" s="47"/>
    </row>
    <row r="21" ht="15" customHeight="1">
      <c r="A21" s="47"/>
      <c r="B21" s="47"/>
      <c r="C21" s="47"/>
      <c r="D21" s="47"/>
      <c r="E21" s="47"/>
      <c r="F21" s="47"/>
      <c r="G21" s="47"/>
      <c r="H21" s="47"/>
      <c r="I21" s="47"/>
      <c r="J21" s="47"/>
      <c r="K21" s="47"/>
      <c r="L21" s="47"/>
    </row>
    <row r="22" ht="15" customHeight="1">
      <c r="A22" s="47"/>
      <c r="B22" s="47"/>
      <c r="C22" s="47"/>
      <c r="D22" s="47"/>
      <c r="E22" s="47"/>
      <c r="F22" s="47"/>
      <c r="G22" s="47"/>
      <c r="H22" s="47"/>
      <c r="I22" s="47"/>
      <c r="J22" s="47"/>
      <c r="K22" s="47"/>
      <c r="L22" s="47"/>
    </row>
    <row r="23" ht="15" customHeight="1">
      <c r="A23" s="47"/>
      <c r="B23" s="47"/>
      <c r="C23" s="47"/>
      <c r="D23" s="47"/>
      <c r="E23" s="47"/>
      <c r="F23" s="47"/>
      <c r="G23" s="47"/>
      <c r="H23" s="47"/>
      <c r="I23" s="47"/>
      <c r="J23" s="47"/>
      <c r="K23" s="47"/>
      <c r="L23" s="47"/>
    </row>
    <row r="24" ht="15" customHeight="1">
      <c r="A24" s="47"/>
      <c r="B24" s="47"/>
      <c r="C24" s="47"/>
      <c r="D24" s="47"/>
      <c r="E24" s="47"/>
      <c r="F24" s="47"/>
      <c r="G24" s="47"/>
      <c r="H24" s="47"/>
      <c r="I24" s="47"/>
      <c r="J24" s="47"/>
      <c r="K24" s="47"/>
      <c r="L24" s="47"/>
    </row>
    <row r="25" ht="15" customHeight="1">
      <c r="A25" s="47"/>
      <c r="B25" s="47"/>
      <c r="C25" s="47"/>
      <c r="D25" s="47"/>
      <c r="E25" s="47"/>
      <c r="F25" s="47"/>
      <c r="G25" s="47"/>
      <c r="H25" s="47"/>
      <c r="I25" s="47"/>
      <c r="J25" s="47"/>
      <c r="K25" s="47"/>
      <c r="L25" s="47"/>
    </row>
    <row r="26" ht="15" customHeight="1">
      <c r="A26" s="47"/>
      <c r="B26" s="47"/>
      <c r="C26" s="47"/>
      <c r="D26" s="47"/>
      <c r="E26" s="47"/>
      <c r="F26" s="47"/>
      <c r="G26" s="47"/>
      <c r="H26" s="47"/>
      <c r="I26" s="47"/>
      <c r="J26" s="47"/>
      <c r="K26" s="47"/>
      <c r="L26" s="47"/>
    </row>
    <row r="27" ht="15" customHeight="1">
      <c r="A27" s="47"/>
      <c r="B27" s="47"/>
      <c r="C27" s="47"/>
      <c r="D27" s="47"/>
      <c r="E27" s="47"/>
      <c r="F27" s="47"/>
      <c r="G27" s="47"/>
      <c r="H27" s="47"/>
      <c r="I27" s="47"/>
      <c r="J27" s="47"/>
      <c r="K27" s="47"/>
      <c r="L27" s="47"/>
    </row>
    <row r="28" ht="15" customHeight="1">
      <c r="A28" s="47"/>
      <c r="B28" s="47"/>
      <c r="C28" s="47"/>
      <c r="D28" s="47"/>
      <c r="E28" s="47"/>
      <c r="F28" s="47"/>
      <c r="G28" s="47"/>
      <c r="H28" s="47"/>
      <c r="I28" s="47"/>
      <c r="J28" s="47"/>
      <c r="K28" s="47"/>
      <c r="L28" s="47"/>
    </row>
    <row r="29" ht="15" customHeight="1">
      <c r="A29" s="47"/>
      <c r="B29" s="47"/>
      <c r="C29" s="47"/>
      <c r="D29" s="47"/>
      <c r="E29" s="47"/>
      <c r="F29" s="47"/>
      <c r="G29" s="47"/>
      <c r="H29" s="47"/>
      <c r="I29" s="47"/>
      <c r="J29" s="47"/>
      <c r="K29" s="47"/>
      <c r="L29" s="47"/>
    </row>
    <row r="30" ht="15" customHeight="1">
      <c r="A30" s="47"/>
      <c r="B30" s="47"/>
      <c r="C30" s="47"/>
      <c r="D30" s="47"/>
      <c r="E30" s="47"/>
      <c r="F30" s="47"/>
      <c r="G30" s="47"/>
      <c r="H30" s="47"/>
      <c r="I30" s="47"/>
      <c r="J30" s="47"/>
      <c r="K30" s="47"/>
      <c r="L30" s="47"/>
    </row>
    <row r="31" ht="15" customHeight="1">
      <c r="A31" s="47"/>
      <c r="B31" s="47"/>
      <c r="C31" s="47"/>
      <c r="D31" s="47"/>
      <c r="E31" s="47"/>
      <c r="F31" s="47"/>
      <c r="G31" s="47"/>
      <c r="H31" s="47"/>
      <c r="I31" s="47"/>
      <c r="J31" s="47"/>
      <c r="K31" s="47"/>
      <c r="L31" s="47"/>
    </row>
    <row r="32" ht="15" customHeight="1">
      <c r="A32" s="47"/>
      <c r="B32" s="47"/>
      <c r="C32" s="47"/>
      <c r="D32" s="47"/>
      <c r="E32" s="47"/>
      <c r="F32" s="47"/>
      <c r="G32" s="47"/>
      <c r="H32" s="47"/>
      <c r="I32" s="47"/>
      <c r="J32" s="47"/>
      <c r="K32" s="47"/>
      <c r="L32" s="47"/>
    </row>
  </sheetData>
  <mergeCells count="25">
    <mergeCell ref="J5:L5"/>
    <mergeCell ref="A6:C7"/>
    <mergeCell ref="A8:C8"/>
    <mergeCell ref="J1:L2"/>
    <mergeCell ref="A4:C4"/>
    <mergeCell ref="D4:F4"/>
    <mergeCell ref="G4:I4"/>
    <mergeCell ref="J4:L4"/>
    <mergeCell ref="A3:C3"/>
    <mergeCell ref="D3:F3"/>
    <mergeCell ref="G3:I3"/>
    <mergeCell ref="J3:L3"/>
    <mergeCell ref="A1:C2"/>
    <mergeCell ref="D1:F2"/>
    <mergeCell ref="G1:I2"/>
    <mergeCell ref="A9:C9"/>
    <mergeCell ref="A10:C10"/>
    <mergeCell ref="G5:I5"/>
    <mergeCell ref="G6:I6"/>
    <mergeCell ref="D6:F7"/>
    <mergeCell ref="D8:F8"/>
    <mergeCell ref="D9:F9"/>
    <mergeCell ref="D10:F10"/>
    <mergeCell ref="A5:C5"/>
    <mergeCell ref="D5:F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L11"/>
  <sheetViews>
    <sheetView workbookViewId="0" showGridLines="0" defaultGridColor="1"/>
  </sheetViews>
  <sheetFormatPr defaultColWidth="8.83333" defaultRowHeight="15" customHeight="1" outlineLevelRow="0" outlineLevelCol="0"/>
  <cols>
    <col min="1" max="1" width="8.85156" style="51" customWidth="1"/>
    <col min="2" max="2" width="15.5" style="51" customWidth="1"/>
    <col min="3" max="3" width="8.85156" style="51" customWidth="1"/>
    <col min="4" max="4" width="14.1719" style="51" customWidth="1"/>
    <col min="5" max="9" width="8.85156" style="51" customWidth="1"/>
    <col min="10" max="10" width="13.5" style="51" customWidth="1"/>
    <col min="11" max="11" width="23.5" style="51" customWidth="1"/>
    <col min="12" max="12" width="30.8516" style="51" customWidth="1"/>
    <col min="13" max="16384" width="8.85156" style="51" customWidth="1"/>
  </cols>
  <sheetData>
    <row r="1" ht="13.55" customHeight="1">
      <c r="A1" t="s" s="30">
        <v>37</v>
      </c>
      <c r="B1" s="32"/>
      <c r="C1" t="s" s="30">
        <v>41</v>
      </c>
      <c r="D1" s="32"/>
      <c r="E1" t="s" s="30">
        <v>83</v>
      </c>
      <c r="F1" s="32"/>
      <c r="G1" t="s" s="30">
        <v>42</v>
      </c>
      <c r="H1" s="32"/>
      <c r="I1" t="s" s="30">
        <v>38</v>
      </c>
      <c r="J1" s="32"/>
      <c r="K1" t="s" s="52">
        <v>84</v>
      </c>
      <c r="L1" t="s" s="52">
        <v>85</v>
      </c>
    </row>
    <row r="2" ht="33" customHeight="1">
      <c r="A2" t="s" s="33">
        <v>86</v>
      </c>
      <c r="B2" s="35"/>
      <c r="C2" t="s" s="33">
        <v>87</v>
      </c>
      <c r="D2" s="35"/>
      <c r="E2" t="s" s="30">
        <v>88</v>
      </c>
      <c r="F2" s="32"/>
      <c r="G2" t="s" s="30">
        <v>89</v>
      </c>
      <c r="H2" s="32"/>
      <c r="I2" t="s" s="30">
        <v>90</v>
      </c>
      <c r="J2" s="32"/>
      <c r="K2" t="s" s="53">
        <v>91</v>
      </c>
      <c r="L2" t="s" s="52">
        <v>92</v>
      </c>
    </row>
    <row r="3" ht="13.55" customHeight="1">
      <c r="A3" t="s" s="40">
        <v>93</v>
      </c>
      <c r="B3" s="42"/>
      <c r="C3" t="s" s="40">
        <v>94</v>
      </c>
      <c r="D3" s="42"/>
      <c r="E3" t="s" s="40">
        <v>95</v>
      </c>
      <c r="F3" s="42"/>
      <c r="G3" t="s" s="40">
        <v>96</v>
      </c>
      <c r="H3" s="42"/>
      <c r="I3" t="s" s="40">
        <v>97</v>
      </c>
      <c r="J3" s="42"/>
      <c r="K3" t="s" s="54">
        <v>98</v>
      </c>
      <c r="L3" t="s" s="54">
        <v>99</v>
      </c>
    </row>
    <row r="4" ht="13.55" customHeight="1">
      <c r="A4" t="s" s="40">
        <v>75</v>
      </c>
      <c r="B4" s="42"/>
      <c r="C4" t="s" s="40">
        <v>100</v>
      </c>
      <c r="D4" s="42"/>
      <c r="E4" t="s" s="40">
        <v>101</v>
      </c>
      <c r="F4" s="42"/>
      <c r="G4" t="s" s="40">
        <v>102</v>
      </c>
      <c r="H4" s="42"/>
      <c r="I4" t="s" s="40">
        <v>103</v>
      </c>
      <c r="J4" s="42"/>
      <c r="K4" t="s" s="54">
        <v>104</v>
      </c>
      <c r="L4" t="s" s="54">
        <v>104</v>
      </c>
    </row>
    <row r="5" ht="57.6" customHeight="1">
      <c r="A5" t="s" s="30">
        <v>105</v>
      </c>
      <c r="B5" s="32"/>
      <c r="C5" t="s" s="30">
        <v>35</v>
      </c>
      <c r="D5" s="32"/>
      <c r="E5" t="s" s="30">
        <v>43</v>
      </c>
      <c r="F5" s="32"/>
      <c r="G5" t="s" s="30">
        <v>106</v>
      </c>
      <c r="H5" s="32"/>
      <c r="I5" t="s" s="55">
        <v>47</v>
      </c>
      <c r="J5" s="56"/>
      <c r="K5" t="s" s="52">
        <v>44</v>
      </c>
      <c r="L5" s="47"/>
    </row>
    <row r="6" ht="13.55" customHeight="1">
      <c r="A6" t="s" s="33">
        <v>107</v>
      </c>
      <c r="B6" s="35"/>
      <c r="C6" t="s" s="57">
        <v>108</v>
      </c>
      <c r="D6" s="58"/>
      <c r="E6" t="s" s="30">
        <v>109</v>
      </c>
      <c r="F6" s="32"/>
      <c r="G6" t="s" s="57">
        <v>110</v>
      </c>
      <c r="H6" s="58"/>
      <c r="I6" t="s" s="48">
        <v>111</v>
      </c>
      <c r="J6" s="50"/>
      <c r="K6" t="s" s="52">
        <v>112</v>
      </c>
      <c r="L6" s="47"/>
    </row>
    <row r="7" ht="13.55" customHeight="1">
      <c r="A7" t="s" s="40">
        <v>71</v>
      </c>
      <c r="B7" s="42"/>
      <c r="C7" t="s" s="40">
        <v>113</v>
      </c>
      <c r="D7" s="42"/>
      <c r="E7" t="s" s="40">
        <v>114</v>
      </c>
      <c r="F7" s="42"/>
      <c r="G7" t="s" s="40">
        <v>115</v>
      </c>
      <c r="H7" s="42"/>
      <c r="I7" t="s" s="40">
        <v>116</v>
      </c>
      <c r="J7" s="42"/>
      <c r="K7" t="s" s="54">
        <v>117</v>
      </c>
      <c r="L7" s="47"/>
    </row>
    <row r="8" ht="13.55" customHeight="1">
      <c r="A8" t="s" s="40">
        <v>101</v>
      </c>
      <c r="B8" s="42"/>
      <c r="C8" t="s" s="40">
        <v>118</v>
      </c>
      <c r="D8" s="42"/>
      <c r="E8" t="s" s="40">
        <v>119</v>
      </c>
      <c r="F8" s="42"/>
      <c r="G8" t="s" s="40">
        <v>118</v>
      </c>
      <c r="H8" s="42"/>
      <c r="I8" t="s" s="40">
        <v>120</v>
      </c>
      <c r="J8" s="42"/>
      <c r="K8" t="s" s="54">
        <v>104</v>
      </c>
      <c r="L8" s="59"/>
    </row>
    <row r="9" ht="13.55" customHeight="1">
      <c r="A9" s="47"/>
      <c r="B9" s="47"/>
      <c r="C9" s="47"/>
      <c r="D9" s="47"/>
      <c r="E9" s="47"/>
      <c r="F9" s="47"/>
      <c r="G9" s="47"/>
      <c r="H9" s="47"/>
      <c r="I9" s="47"/>
      <c r="J9" s="47"/>
      <c r="K9" s="47"/>
      <c r="L9" s="60"/>
    </row>
    <row r="10" ht="13.55" customHeight="1">
      <c r="A10" s="47"/>
      <c r="B10" s="47"/>
      <c r="C10" s="47"/>
      <c r="D10" s="47"/>
      <c r="E10" s="47"/>
      <c r="F10" s="47"/>
      <c r="G10" s="47"/>
      <c r="H10" s="47"/>
      <c r="I10" s="47"/>
      <c r="J10" s="47"/>
      <c r="K10" s="47"/>
      <c r="L10" s="60"/>
    </row>
    <row r="11" ht="13.55" customHeight="1">
      <c r="A11" s="47"/>
      <c r="B11" s="47"/>
      <c r="C11" s="47"/>
      <c r="D11" s="47"/>
      <c r="E11" s="47"/>
      <c r="F11" s="47"/>
      <c r="G11" s="47"/>
      <c r="H11" s="47"/>
      <c r="I11" s="47"/>
      <c r="J11" s="47"/>
      <c r="K11" s="47"/>
      <c r="L11" s="60"/>
    </row>
  </sheetData>
  <mergeCells count="40">
    <mergeCell ref="A8:B8"/>
    <mergeCell ref="C8:D8"/>
    <mergeCell ref="E8:F8"/>
    <mergeCell ref="G8:H8"/>
    <mergeCell ref="I8:J8"/>
    <mergeCell ref="A7:B7"/>
    <mergeCell ref="C7:D7"/>
    <mergeCell ref="E7:F7"/>
    <mergeCell ref="G7:H7"/>
    <mergeCell ref="I7:J7"/>
    <mergeCell ref="A6:B6"/>
    <mergeCell ref="C6:D6"/>
    <mergeCell ref="E6:F6"/>
    <mergeCell ref="G6:H6"/>
    <mergeCell ref="I6:J6"/>
    <mergeCell ref="E3:F3"/>
    <mergeCell ref="G3:H3"/>
    <mergeCell ref="I3:J3"/>
    <mergeCell ref="A4:B4"/>
    <mergeCell ref="C4:D4"/>
    <mergeCell ref="E4:F4"/>
    <mergeCell ref="G4:H4"/>
    <mergeCell ref="I4:J4"/>
    <mergeCell ref="A3:B3"/>
    <mergeCell ref="C3:D3"/>
    <mergeCell ref="A5:B5"/>
    <mergeCell ref="C5:D5"/>
    <mergeCell ref="E5:F5"/>
    <mergeCell ref="G5:H5"/>
    <mergeCell ref="I5:J5"/>
    <mergeCell ref="A2:B2"/>
    <mergeCell ref="C2:D2"/>
    <mergeCell ref="E2:F2"/>
    <mergeCell ref="G2:H2"/>
    <mergeCell ref="I2:J2"/>
    <mergeCell ref="I1:J1"/>
    <mergeCell ref="A1:B1"/>
    <mergeCell ref="C1:D1"/>
    <mergeCell ref="E1:F1"/>
    <mergeCell ref="G1:H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R135"/>
  <sheetViews>
    <sheetView workbookViewId="0" showGridLines="0" defaultGridColor="1"/>
  </sheetViews>
  <sheetFormatPr defaultColWidth="8.83333" defaultRowHeight="15" customHeight="1" outlineLevelRow="0" outlineLevelCol="0"/>
  <cols>
    <col min="1" max="18" width="8.85156" style="61" customWidth="1"/>
    <col min="19" max="16384" width="8.85156" style="61" customWidth="1"/>
  </cols>
  <sheetData>
    <row r="1" ht="15" customHeight="1">
      <c r="A1" t="s" s="48">
        <v>60</v>
      </c>
      <c r="B1" s="49"/>
      <c r="C1" s="50"/>
      <c r="D1" t="s" s="48">
        <v>57</v>
      </c>
      <c r="E1" s="49"/>
      <c r="F1" s="50"/>
      <c r="G1" t="s" s="48">
        <v>55</v>
      </c>
      <c r="H1" s="49"/>
      <c r="I1" s="50"/>
      <c r="J1" t="s" s="48">
        <v>121</v>
      </c>
      <c r="K1" s="49"/>
      <c r="L1" s="50"/>
      <c r="M1" t="s" s="48">
        <v>122</v>
      </c>
      <c r="N1" s="49"/>
      <c r="O1" s="50"/>
      <c r="P1" t="s" s="48">
        <v>123</v>
      </c>
      <c r="Q1" s="49"/>
      <c r="R1" s="50"/>
    </row>
    <row r="2" ht="15" customHeight="1">
      <c r="A2" t="s" s="40">
        <v>124</v>
      </c>
      <c r="B2" s="41"/>
      <c r="C2" s="42"/>
      <c r="D2" t="s" s="40">
        <v>125</v>
      </c>
      <c r="E2" s="41"/>
      <c r="F2" s="42"/>
      <c r="G2" t="s" s="40">
        <v>126</v>
      </c>
      <c r="H2" s="41"/>
      <c r="I2" s="42"/>
      <c r="J2" t="s" s="40">
        <v>127</v>
      </c>
      <c r="K2" s="41"/>
      <c r="L2" s="42"/>
      <c r="M2" t="s" s="40">
        <v>128</v>
      </c>
      <c r="N2" s="41"/>
      <c r="O2" s="42"/>
      <c r="P2" t="s" s="40">
        <v>129</v>
      </c>
      <c r="Q2" s="41"/>
      <c r="R2" s="42"/>
    </row>
    <row r="3" ht="15" customHeight="1">
      <c r="A3" t="s" s="40">
        <v>130</v>
      </c>
      <c r="B3" s="41"/>
      <c r="C3" s="42"/>
      <c r="D3" t="s" s="40">
        <v>131</v>
      </c>
      <c r="E3" s="41"/>
      <c r="F3" s="42"/>
      <c r="G3" t="s" s="40">
        <v>132</v>
      </c>
      <c r="H3" s="41"/>
      <c r="I3" s="42"/>
      <c r="J3" t="s" s="40">
        <v>133</v>
      </c>
      <c r="K3" s="41"/>
      <c r="L3" s="42"/>
      <c r="M3" t="s" s="40">
        <v>134</v>
      </c>
      <c r="N3" s="41"/>
      <c r="O3" s="42"/>
      <c r="P3" t="s" s="40">
        <v>135</v>
      </c>
      <c r="Q3" s="41"/>
      <c r="R3" s="42"/>
    </row>
    <row r="4" ht="15" customHeight="1">
      <c r="A4" t="s" s="48">
        <v>136</v>
      </c>
      <c r="B4" s="49"/>
      <c r="C4" s="50"/>
      <c r="D4" t="s" s="48">
        <v>137</v>
      </c>
      <c r="E4" s="49"/>
      <c r="F4" s="50"/>
      <c r="G4" t="s" s="48">
        <v>138</v>
      </c>
      <c r="H4" s="49"/>
      <c r="I4" s="50"/>
      <c r="J4" t="s" s="48">
        <v>139</v>
      </c>
      <c r="K4" s="49"/>
      <c r="L4" s="50"/>
      <c r="M4" t="s" s="48">
        <v>140</v>
      </c>
      <c r="N4" s="49"/>
      <c r="O4" s="50"/>
      <c r="P4" t="s" s="48">
        <v>141</v>
      </c>
      <c r="Q4" s="49"/>
      <c r="R4" s="50"/>
    </row>
    <row r="5" ht="15" customHeight="1">
      <c r="A5" s="62"/>
      <c r="B5" s="63"/>
      <c r="C5" s="64"/>
      <c r="D5" s="62"/>
      <c r="E5" s="63"/>
      <c r="F5" s="64"/>
      <c r="G5" s="62"/>
      <c r="H5" s="63"/>
      <c r="I5" s="64"/>
      <c r="J5" s="62"/>
      <c r="K5" s="63"/>
      <c r="L5" s="64"/>
      <c r="M5" s="62"/>
      <c r="N5" s="63"/>
      <c r="O5" s="64"/>
      <c r="P5" s="62"/>
      <c r="Q5" s="63"/>
      <c r="R5" s="64"/>
    </row>
    <row r="6" ht="15" customHeight="1">
      <c r="A6" s="62"/>
      <c r="B6" s="63"/>
      <c r="C6" s="64"/>
      <c r="D6" s="62"/>
      <c r="E6" s="63"/>
      <c r="F6" s="64"/>
      <c r="G6" s="62"/>
      <c r="H6" s="63"/>
      <c r="I6" s="64"/>
      <c r="J6" s="62"/>
      <c r="K6" s="63"/>
      <c r="L6" s="64"/>
      <c r="M6" s="62"/>
      <c r="N6" s="63"/>
      <c r="O6" s="64"/>
      <c r="P6" s="62"/>
      <c r="Q6" s="63"/>
      <c r="R6" s="64"/>
    </row>
    <row r="7" ht="15" customHeight="1">
      <c r="A7" s="62"/>
      <c r="B7" s="63"/>
      <c r="C7" s="64"/>
      <c r="D7" s="62"/>
      <c r="E7" s="63"/>
      <c r="F7" s="64"/>
      <c r="G7" s="62"/>
      <c r="H7" s="63"/>
      <c r="I7" s="64"/>
      <c r="J7" s="62"/>
      <c r="K7" s="63"/>
      <c r="L7" s="64"/>
      <c r="M7" s="62"/>
      <c r="N7" s="63"/>
      <c r="O7" s="64"/>
      <c r="P7" s="62"/>
      <c r="Q7" s="63"/>
      <c r="R7" s="64"/>
    </row>
    <row r="8" ht="15" customHeight="1">
      <c r="A8" s="62"/>
      <c r="B8" s="63"/>
      <c r="C8" s="64"/>
      <c r="D8" s="62"/>
      <c r="E8" s="63"/>
      <c r="F8" s="64"/>
      <c r="G8" s="62"/>
      <c r="H8" s="63"/>
      <c r="I8" s="64"/>
      <c r="J8" s="62"/>
      <c r="K8" s="63"/>
      <c r="L8" s="64"/>
      <c r="M8" s="62"/>
      <c r="N8" s="63"/>
      <c r="O8" s="64"/>
      <c r="P8" s="62"/>
      <c r="Q8" s="63"/>
      <c r="R8" s="64"/>
    </row>
    <row r="9" ht="15" customHeight="1">
      <c r="A9" s="62"/>
      <c r="B9" s="63"/>
      <c r="C9" s="64"/>
      <c r="D9" s="62"/>
      <c r="E9" s="63"/>
      <c r="F9" s="64"/>
      <c r="G9" s="62"/>
      <c r="H9" s="63"/>
      <c r="I9" s="64"/>
      <c r="J9" s="62"/>
      <c r="K9" s="63"/>
      <c r="L9" s="64"/>
      <c r="M9" s="62"/>
      <c r="N9" s="63"/>
      <c r="O9" s="64"/>
      <c r="P9" s="62"/>
      <c r="Q9" s="63"/>
      <c r="R9" s="64"/>
    </row>
    <row r="10" ht="15" customHeight="1">
      <c r="A10" t="s" s="48">
        <v>59</v>
      </c>
      <c r="B10" s="49"/>
      <c r="C10" s="50"/>
      <c r="D10" t="s" s="48">
        <v>142</v>
      </c>
      <c r="E10" s="49"/>
      <c r="F10" s="50"/>
      <c r="G10" t="s" s="48">
        <v>58</v>
      </c>
      <c r="H10" s="49"/>
      <c r="I10" s="50"/>
      <c r="J10" t="s" s="48">
        <v>52</v>
      </c>
      <c r="K10" s="49"/>
      <c r="L10" s="50"/>
      <c r="M10" s="62"/>
      <c r="N10" s="63"/>
      <c r="O10" s="64"/>
      <c r="P10" s="62"/>
      <c r="Q10" s="63"/>
      <c r="R10" s="64"/>
    </row>
    <row r="11" ht="15" customHeight="1">
      <c r="A11" t="s" s="40">
        <v>143</v>
      </c>
      <c r="B11" s="41"/>
      <c r="C11" s="42"/>
      <c r="D11" t="s" s="40">
        <v>144</v>
      </c>
      <c r="E11" s="41"/>
      <c r="F11" s="42"/>
      <c r="G11" t="s" s="40">
        <v>145</v>
      </c>
      <c r="H11" s="41"/>
      <c r="I11" s="42"/>
      <c r="J11" t="s" s="40">
        <v>146</v>
      </c>
      <c r="K11" s="41"/>
      <c r="L11" s="42"/>
      <c r="M11" s="47"/>
      <c r="N11" s="47"/>
      <c r="O11" s="47"/>
      <c r="P11" s="47"/>
      <c r="Q11" s="47"/>
      <c r="R11" s="47"/>
    </row>
    <row r="12" ht="15" customHeight="1">
      <c r="A12" t="s" s="40">
        <v>147</v>
      </c>
      <c r="B12" s="41"/>
      <c r="C12" s="42"/>
      <c r="D12" t="s" s="40">
        <v>148</v>
      </c>
      <c r="E12" s="41"/>
      <c r="F12" s="42"/>
      <c r="G12" t="s" s="40">
        <v>149</v>
      </c>
      <c r="H12" s="41"/>
      <c r="I12" s="42"/>
      <c r="J12" t="s" s="40">
        <v>150</v>
      </c>
      <c r="K12" s="41"/>
      <c r="L12" s="42"/>
      <c r="M12" s="47"/>
      <c r="N12" s="47"/>
      <c r="O12" s="47"/>
      <c r="P12" s="47"/>
      <c r="Q12" s="47"/>
      <c r="R12" s="47"/>
    </row>
    <row r="13" ht="15" customHeight="1">
      <c r="A13" t="s" s="48">
        <v>151</v>
      </c>
      <c r="B13" s="49"/>
      <c r="C13" s="50"/>
      <c r="D13" t="s" s="48">
        <v>152</v>
      </c>
      <c r="E13" s="49"/>
      <c r="F13" s="50"/>
      <c r="G13" t="s" s="48">
        <v>74</v>
      </c>
      <c r="H13" s="49"/>
      <c r="I13" s="50"/>
      <c r="J13" t="s" s="48">
        <v>74</v>
      </c>
      <c r="K13" s="49"/>
      <c r="L13" s="50"/>
      <c r="M13" s="47"/>
      <c r="N13" s="47"/>
      <c r="O13" s="47"/>
      <c r="P13" s="47"/>
      <c r="Q13" s="47"/>
      <c r="R13" s="47"/>
    </row>
    <row r="14" ht="15" customHeight="1">
      <c r="A14" s="62"/>
      <c r="B14" s="63"/>
      <c r="C14" s="64"/>
      <c r="D14" s="47"/>
      <c r="E14" s="47"/>
      <c r="F14" s="47"/>
      <c r="G14" s="47"/>
      <c r="H14" s="47"/>
      <c r="I14" s="47"/>
      <c r="J14" s="47"/>
      <c r="K14" s="47"/>
      <c r="L14" s="47"/>
      <c r="M14" s="47"/>
      <c r="N14" s="47"/>
      <c r="O14" s="47"/>
      <c r="P14" s="47"/>
      <c r="Q14" s="47"/>
      <c r="R14" s="47"/>
    </row>
    <row r="15" ht="15" customHeight="1">
      <c r="A15" s="62"/>
      <c r="B15" s="63"/>
      <c r="C15" s="64"/>
      <c r="D15" s="47"/>
      <c r="E15" s="47"/>
      <c r="F15" s="47"/>
      <c r="G15" s="47"/>
      <c r="H15" s="47"/>
      <c r="I15" s="47"/>
      <c r="J15" s="47"/>
      <c r="K15" s="47"/>
      <c r="L15" s="47"/>
      <c r="M15" s="47"/>
      <c r="N15" s="47"/>
      <c r="O15" s="47"/>
      <c r="P15" s="47"/>
      <c r="Q15" s="47"/>
      <c r="R15" s="47"/>
    </row>
    <row r="16" ht="15" customHeight="1">
      <c r="A16" s="62"/>
      <c r="B16" s="63"/>
      <c r="C16" s="64"/>
      <c r="D16" s="47"/>
      <c r="E16" s="47"/>
      <c r="F16" s="47"/>
      <c r="G16" s="47"/>
      <c r="H16" s="47"/>
      <c r="I16" s="47"/>
      <c r="J16" s="47"/>
      <c r="K16" s="47"/>
      <c r="L16" s="47"/>
      <c r="M16" s="47"/>
      <c r="N16" s="47"/>
      <c r="O16" s="47"/>
      <c r="P16" s="47"/>
      <c r="Q16" s="47"/>
      <c r="R16" s="47"/>
    </row>
    <row r="17" ht="15" customHeight="1">
      <c r="A17" s="62"/>
      <c r="B17" s="63"/>
      <c r="C17" s="64"/>
      <c r="D17" s="47"/>
      <c r="E17" s="47"/>
      <c r="F17" s="47"/>
      <c r="G17" s="47"/>
      <c r="H17" s="47"/>
      <c r="I17" s="47"/>
      <c r="J17" s="47"/>
      <c r="K17" s="47"/>
      <c r="L17" s="47"/>
      <c r="M17" s="47"/>
      <c r="N17" s="47"/>
      <c r="O17" s="47"/>
      <c r="P17" s="47"/>
      <c r="Q17" s="47"/>
      <c r="R17" s="47"/>
    </row>
    <row r="18" ht="15" customHeight="1">
      <c r="A18" s="62"/>
      <c r="B18" s="63"/>
      <c r="C18" s="64"/>
      <c r="D18" s="47"/>
      <c r="E18" s="47"/>
      <c r="F18" s="47"/>
      <c r="G18" s="47"/>
      <c r="H18" s="47"/>
      <c r="I18" s="47"/>
      <c r="J18" s="47"/>
      <c r="K18" s="47"/>
      <c r="L18" s="47"/>
      <c r="M18" s="47"/>
      <c r="N18" s="47"/>
      <c r="O18" s="47"/>
      <c r="P18" s="47"/>
      <c r="Q18" s="47"/>
      <c r="R18" s="47"/>
    </row>
    <row r="19" ht="15" customHeight="1">
      <c r="A19" s="62"/>
      <c r="B19" s="63"/>
      <c r="C19" s="64"/>
      <c r="D19" s="47"/>
      <c r="E19" s="47"/>
      <c r="F19" s="47"/>
      <c r="G19" s="47"/>
      <c r="H19" s="47"/>
      <c r="I19" s="47"/>
      <c r="J19" s="47"/>
      <c r="K19" s="47"/>
      <c r="L19" s="47"/>
      <c r="M19" s="47"/>
      <c r="N19" s="47"/>
      <c r="O19" s="47"/>
      <c r="P19" s="47"/>
      <c r="Q19" s="47"/>
      <c r="R19" s="47"/>
    </row>
    <row r="20" ht="15" customHeight="1">
      <c r="A20" s="47"/>
      <c r="B20" s="47"/>
      <c r="C20" s="47"/>
      <c r="D20" s="47"/>
      <c r="E20" s="47"/>
      <c r="F20" s="47"/>
      <c r="G20" s="47"/>
      <c r="H20" s="47"/>
      <c r="I20" s="47"/>
      <c r="J20" s="47"/>
      <c r="K20" s="47"/>
      <c r="L20" s="47"/>
      <c r="M20" s="47"/>
      <c r="N20" s="47"/>
      <c r="O20" s="47"/>
      <c r="P20" s="47"/>
      <c r="Q20" s="47"/>
      <c r="R20" s="47"/>
    </row>
    <row r="21" ht="15" customHeight="1">
      <c r="A21" s="47"/>
      <c r="B21" s="47"/>
      <c r="C21" s="47"/>
      <c r="D21" s="47"/>
      <c r="E21" s="47"/>
      <c r="F21" s="47"/>
      <c r="G21" s="47"/>
      <c r="H21" s="47"/>
      <c r="I21" s="47"/>
      <c r="J21" s="47"/>
      <c r="K21" s="47"/>
      <c r="L21" s="47"/>
      <c r="M21" s="47"/>
      <c r="N21" s="47"/>
      <c r="O21" s="47"/>
      <c r="P21" s="47"/>
      <c r="Q21" s="47"/>
      <c r="R21" s="47"/>
    </row>
    <row r="22" ht="15" customHeight="1">
      <c r="A22" s="47"/>
      <c r="B22" s="47"/>
      <c r="C22" s="47"/>
      <c r="D22" s="47"/>
      <c r="E22" s="47"/>
      <c r="F22" s="47"/>
      <c r="G22" s="47"/>
      <c r="H22" s="47"/>
      <c r="I22" s="47"/>
      <c r="J22" s="47"/>
      <c r="K22" s="47"/>
      <c r="L22" s="47"/>
      <c r="M22" s="47"/>
      <c r="N22" s="47"/>
      <c r="O22" s="47"/>
      <c r="P22" s="47"/>
      <c r="Q22" s="47"/>
      <c r="R22" s="47"/>
    </row>
    <row r="23" ht="15" customHeight="1">
      <c r="A23" s="47"/>
      <c r="B23" s="47"/>
      <c r="C23" s="47"/>
      <c r="D23" s="47"/>
      <c r="E23" s="47"/>
      <c r="F23" s="47"/>
      <c r="G23" s="47"/>
      <c r="H23" s="47"/>
      <c r="I23" s="47"/>
      <c r="J23" s="47"/>
      <c r="K23" s="47"/>
      <c r="L23" s="47"/>
      <c r="M23" s="47"/>
      <c r="N23" s="47"/>
      <c r="O23" s="47"/>
      <c r="P23" s="47"/>
      <c r="Q23" s="47"/>
      <c r="R23" s="47"/>
    </row>
    <row r="24" ht="15" customHeight="1">
      <c r="A24" s="47"/>
      <c r="B24" s="47"/>
      <c r="C24" s="47"/>
      <c r="D24" s="47"/>
      <c r="E24" s="47"/>
      <c r="F24" s="47"/>
      <c r="G24" s="47"/>
      <c r="H24" s="47"/>
      <c r="I24" s="47"/>
      <c r="J24" s="47"/>
      <c r="K24" s="47"/>
      <c r="L24" s="47"/>
      <c r="M24" s="47"/>
      <c r="N24" s="47"/>
      <c r="O24" s="47"/>
      <c r="P24" s="47"/>
      <c r="Q24" s="47"/>
      <c r="R24" s="47"/>
    </row>
    <row r="25" ht="15" customHeight="1">
      <c r="A25" s="47"/>
      <c r="B25" s="47"/>
      <c r="C25" s="47"/>
      <c r="D25" s="47"/>
      <c r="E25" s="47"/>
      <c r="F25" s="47"/>
      <c r="G25" s="47"/>
      <c r="H25" s="47"/>
      <c r="I25" s="47"/>
      <c r="J25" s="47"/>
      <c r="K25" s="47"/>
      <c r="L25" s="47"/>
      <c r="M25" s="47"/>
      <c r="N25" s="47"/>
      <c r="O25" s="47"/>
      <c r="P25" s="47"/>
      <c r="Q25" s="47"/>
      <c r="R25" s="47"/>
    </row>
    <row r="26" ht="15" customHeight="1">
      <c r="A26" s="47"/>
      <c r="B26" s="47"/>
      <c r="C26" s="47"/>
      <c r="D26" s="47"/>
      <c r="E26" s="47"/>
      <c r="F26" s="47"/>
      <c r="G26" s="47"/>
      <c r="H26" s="47"/>
      <c r="I26" s="47"/>
      <c r="J26" s="47"/>
      <c r="K26" s="47"/>
      <c r="L26" s="47"/>
      <c r="M26" s="47"/>
      <c r="N26" s="47"/>
      <c r="O26" s="47"/>
      <c r="P26" s="47"/>
      <c r="Q26" s="47"/>
      <c r="R26" s="47"/>
    </row>
    <row r="27" ht="15" customHeight="1">
      <c r="A27" s="47"/>
      <c r="B27" s="47"/>
      <c r="C27" s="47"/>
      <c r="D27" s="47"/>
      <c r="E27" s="47"/>
      <c r="F27" s="47"/>
      <c r="G27" s="47"/>
      <c r="H27" s="47"/>
      <c r="I27" s="47"/>
      <c r="J27" s="47"/>
      <c r="K27" s="47"/>
      <c r="L27" s="47"/>
      <c r="M27" s="47"/>
      <c r="N27" s="47"/>
      <c r="O27" s="47"/>
      <c r="P27" s="47"/>
      <c r="Q27" s="47"/>
      <c r="R27" s="47"/>
    </row>
    <row r="28" ht="15" customHeight="1">
      <c r="A28" s="47"/>
      <c r="B28" s="47"/>
      <c r="C28" s="47"/>
      <c r="D28" s="47"/>
      <c r="E28" s="47"/>
      <c r="F28" s="47"/>
      <c r="G28" s="47"/>
      <c r="H28" s="47"/>
      <c r="I28" s="47"/>
      <c r="J28" s="47"/>
      <c r="K28" s="47"/>
      <c r="L28" s="47"/>
      <c r="M28" s="47"/>
      <c r="N28" s="47"/>
      <c r="O28" s="47"/>
      <c r="P28" s="47"/>
      <c r="Q28" s="47"/>
      <c r="R28" s="47"/>
    </row>
    <row r="29" ht="15" customHeight="1">
      <c r="A29" s="47"/>
      <c r="B29" s="47"/>
      <c r="C29" s="47"/>
      <c r="D29" s="47"/>
      <c r="E29" s="47"/>
      <c r="F29" s="47"/>
      <c r="G29" s="47"/>
      <c r="H29" s="47"/>
      <c r="I29" s="47"/>
      <c r="J29" s="47"/>
      <c r="K29" s="47"/>
      <c r="L29" s="47"/>
      <c r="M29" s="47"/>
      <c r="N29" s="47"/>
      <c r="O29" s="47"/>
      <c r="P29" s="47"/>
      <c r="Q29" s="47"/>
      <c r="R29" s="47"/>
    </row>
    <row r="30" ht="15" customHeight="1">
      <c r="A30" s="47"/>
      <c r="B30" s="47"/>
      <c r="C30" s="47"/>
      <c r="D30" s="47"/>
      <c r="E30" s="47"/>
      <c r="F30" s="47"/>
      <c r="G30" s="47"/>
      <c r="H30" s="47"/>
      <c r="I30" s="47"/>
      <c r="J30" s="47"/>
      <c r="K30" s="47"/>
      <c r="L30" s="47"/>
      <c r="M30" s="47"/>
      <c r="N30" s="47"/>
      <c r="O30" s="47"/>
      <c r="P30" s="47"/>
      <c r="Q30" s="47"/>
      <c r="R30" s="47"/>
    </row>
    <row r="31" ht="15" customHeight="1">
      <c r="A31" s="47"/>
      <c r="B31" s="47"/>
      <c r="C31" s="47"/>
      <c r="D31" s="47"/>
      <c r="E31" s="47"/>
      <c r="F31" s="47"/>
      <c r="G31" s="47"/>
      <c r="H31" s="47"/>
      <c r="I31" s="47"/>
      <c r="J31" s="47"/>
      <c r="K31" s="47"/>
      <c r="L31" s="47"/>
      <c r="M31" s="47"/>
      <c r="N31" s="47"/>
      <c r="O31" s="47"/>
      <c r="P31" s="47"/>
      <c r="Q31" s="47"/>
      <c r="R31" s="47"/>
    </row>
    <row r="32" ht="15" customHeight="1">
      <c r="A32" s="47"/>
      <c r="B32" s="47"/>
      <c r="C32" s="47"/>
      <c r="D32" s="47"/>
      <c r="E32" s="47"/>
      <c r="F32" s="47"/>
      <c r="G32" s="47"/>
      <c r="H32" s="47"/>
      <c r="I32" s="47"/>
      <c r="J32" s="47"/>
      <c r="K32" s="47"/>
      <c r="L32" s="47"/>
      <c r="M32" s="47"/>
      <c r="N32" s="47"/>
      <c r="O32" s="47"/>
      <c r="P32" s="47"/>
      <c r="Q32" s="47"/>
      <c r="R32" s="47"/>
    </row>
    <row r="33" ht="15" customHeight="1">
      <c r="A33" s="47"/>
      <c r="B33" s="47"/>
      <c r="C33" s="47"/>
      <c r="D33" s="47"/>
      <c r="E33" s="47"/>
      <c r="F33" s="47"/>
      <c r="G33" s="47"/>
      <c r="H33" s="47"/>
      <c r="I33" s="47"/>
      <c r="J33" s="47"/>
      <c r="K33" s="47"/>
      <c r="L33" s="47"/>
      <c r="M33" s="47"/>
      <c r="N33" s="47"/>
      <c r="O33" s="47"/>
      <c r="P33" s="47"/>
      <c r="Q33" s="47"/>
      <c r="R33" s="47"/>
    </row>
    <row r="34" ht="15" customHeight="1">
      <c r="A34" s="47"/>
      <c r="B34" s="47"/>
      <c r="C34" s="47"/>
      <c r="D34" s="47"/>
      <c r="E34" s="47"/>
      <c r="F34" s="47"/>
      <c r="G34" s="47"/>
      <c r="H34" s="47"/>
      <c r="I34" s="47"/>
      <c r="J34" s="47"/>
      <c r="K34" s="47"/>
      <c r="L34" s="47"/>
      <c r="M34" s="47"/>
      <c r="N34" s="47"/>
      <c r="O34" s="47"/>
      <c r="P34" s="47"/>
      <c r="Q34" s="47"/>
      <c r="R34" s="47"/>
    </row>
    <row r="35" ht="15" customHeight="1">
      <c r="A35" s="47"/>
      <c r="B35" s="47"/>
      <c r="C35" s="47"/>
      <c r="D35" s="47"/>
      <c r="E35" s="47"/>
      <c r="F35" s="47"/>
      <c r="G35" s="47"/>
      <c r="H35" s="47"/>
      <c r="I35" s="47"/>
      <c r="J35" s="47"/>
      <c r="K35" s="47"/>
      <c r="L35" s="47"/>
      <c r="M35" s="47"/>
      <c r="N35" s="47"/>
      <c r="O35" s="47"/>
      <c r="P35" s="47"/>
      <c r="Q35" s="47"/>
      <c r="R35" s="47"/>
    </row>
    <row r="36" ht="15" customHeight="1">
      <c r="A36" s="47"/>
      <c r="B36" s="47"/>
      <c r="C36" s="47"/>
      <c r="D36" s="47"/>
      <c r="E36" s="47"/>
      <c r="F36" s="47"/>
      <c r="G36" s="47"/>
      <c r="H36" s="47"/>
      <c r="I36" s="47"/>
      <c r="J36" s="47"/>
      <c r="K36" s="47"/>
      <c r="L36" s="47"/>
      <c r="M36" s="47"/>
      <c r="N36" s="47"/>
      <c r="O36" s="47"/>
      <c r="P36" s="47"/>
      <c r="Q36" s="47"/>
      <c r="R36" s="47"/>
    </row>
    <row r="37" ht="15" customHeight="1">
      <c r="A37" s="47"/>
      <c r="B37" s="47"/>
      <c r="C37" s="47"/>
      <c r="D37" s="47"/>
      <c r="E37" s="47"/>
      <c r="F37" s="47"/>
      <c r="G37" s="47"/>
      <c r="H37" s="47"/>
      <c r="I37" s="47"/>
      <c r="J37" s="47"/>
      <c r="K37" s="47"/>
      <c r="L37" s="47"/>
      <c r="M37" s="47"/>
      <c r="N37" s="47"/>
      <c r="O37" s="47"/>
      <c r="P37" s="47"/>
      <c r="Q37" s="47"/>
      <c r="R37" s="47"/>
    </row>
    <row r="38" ht="15" customHeight="1">
      <c r="A38" s="47"/>
      <c r="B38" s="47"/>
      <c r="C38" s="47"/>
      <c r="D38" s="47"/>
      <c r="E38" s="47"/>
      <c r="F38" s="47"/>
      <c r="G38" s="47"/>
      <c r="H38" s="47"/>
      <c r="I38" s="47"/>
      <c r="J38" s="47"/>
      <c r="K38" s="47"/>
      <c r="L38" s="47"/>
      <c r="M38" s="47"/>
      <c r="N38" s="47"/>
      <c r="O38" s="47"/>
      <c r="P38" s="47"/>
      <c r="Q38" s="47"/>
      <c r="R38" s="47"/>
    </row>
    <row r="39" ht="15" customHeight="1">
      <c r="A39" s="47"/>
      <c r="B39" s="47"/>
      <c r="C39" s="47"/>
      <c r="D39" s="47"/>
      <c r="E39" s="47"/>
      <c r="F39" s="47"/>
      <c r="G39" s="47"/>
      <c r="H39" s="47"/>
      <c r="I39" s="47"/>
      <c r="J39" s="47"/>
      <c r="K39" s="47"/>
      <c r="L39" s="47"/>
      <c r="M39" s="47"/>
      <c r="N39" s="47"/>
      <c r="O39" s="47"/>
      <c r="P39" s="47"/>
      <c r="Q39" s="47"/>
      <c r="R39" s="47"/>
    </row>
    <row r="40" ht="15" customHeight="1">
      <c r="A40" s="47"/>
      <c r="B40" s="47"/>
      <c r="C40" s="47"/>
      <c r="D40" s="47"/>
      <c r="E40" s="47"/>
      <c r="F40" s="47"/>
      <c r="G40" s="47"/>
      <c r="H40" s="47"/>
      <c r="I40" s="47"/>
      <c r="J40" s="47"/>
      <c r="K40" s="47"/>
      <c r="L40" s="47"/>
      <c r="M40" s="47"/>
      <c r="N40" s="47"/>
      <c r="O40" s="47"/>
      <c r="P40" s="47"/>
      <c r="Q40" s="47"/>
      <c r="R40" s="47"/>
    </row>
    <row r="41" ht="15" customHeight="1">
      <c r="A41" s="47"/>
      <c r="B41" s="47"/>
      <c r="C41" s="47"/>
      <c r="D41" s="47"/>
      <c r="E41" s="47"/>
      <c r="F41" s="47"/>
      <c r="G41" s="47"/>
      <c r="H41" s="47"/>
      <c r="I41" s="47"/>
      <c r="J41" s="47"/>
      <c r="K41" s="47"/>
      <c r="L41" s="47"/>
      <c r="M41" s="47"/>
      <c r="N41" s="47"/>
      <c r="O41" s="47"/>
      <c r="P41" s="47"/>
      <c r="Q41" s="47"/>
      <c r="R41" s="47"/>
    </row>
    <row r="42" ht="15" customHeight="1">
      <c r="A42" s="47"/>
      <c r="B42" s="47"/>
      <c r="C42" s="47"/>
      <c r="D42" s="47"/>
      <c r="E42" s="47"/>
      <c r="F42" s="47"/>
      <c r="G42" s="47"/>
      <c r="H42" s="47"/>
      <c r="I42" s="47"/>
      <c r="J42" s="47"/>
      <c r="K42" s="47"/>
      <c r="L42" s="47"/>
      <c r="M42" s="47"/>
      <c r="N42" s="47"/>
      <c r="O42" s="47"/>
      <c r="P42" s="47"/>
      <c r="Q42" s="47"/>
      <c r="R42" s="47"/>
    </row>
    <row r="43" ht="15" customHeight="1">
      <c r="A43" s="47"/>
      <c r="B43" s="47"/>
      <c r="C43" s="47"/>
      <c r="D43" s="47"/>
      <c r="E43" s="47"/>
      <c r="F43" s="47"/>
      <c r="G43" s="47"/>
      <c r="H43" s="47"/>
      <c r="I43" s="47"/>
      <c r="J43" s="47"/>
      <c r="K43" s="47"/>
      <c r="L43" s="47"/>
      <c r="M43" s="47"/>
      <c r="N43" s="47"/>
      <c r="O43" s="47"/>
      <c r="P43" s="47"/>
      <c r="Q43" s="47"/>
      <c r="R43" s="47"/>
    </row>
    <row r="44" ht="15" customHeight="1">
      <c r="A44" s="47"/>
      <c r="B44" s="47"/>
      <c r="C44" s="47"/>
      <c r="D44" s="47"/>
      <c r="E44" s="47"/>
      <c r="F44" s="47"/>
      <c r="G44" s="47"/>
      <c r="H44" s="47"/>
      <c r="I44" s="47"/>
      <c r="J44" s="47"/>
      <c r="K44" s="47"/>
      <c r="L44" s="47"/>
      <c r="M44" s="47"/>
      <c r="N44" s="47"/>
      <c r="O44" s="47"/>
      <c r="P44" s="47"/>
      <c r="Q44" s="47"/>
      <c r="R44" s="47"/>
    </row>
    <row r="45" ht="15" customHeight="1">
      <c r="A45" s="47"/>
      <c r="B45" s="47"/>
      <c r="C45" s="47"/>
      <c r="D45" s="47"/>
      <c r="E45" s="47"/>
      <c r="F45" s="47"/>
      <c r="G45" s="47"/>
      <c r="H45" s="47"/>
      <c r="I45" s="47"/>
      <c r="J45" s="47"/>
      <c r="K45" s="47"/>
      <c r="L45" s="47"/>
      <c r="M45" s="47"/>
      <c r="N45" s="47"/>
      <c r="O45" s="47"/>
      <c r="P45" s="47"/>
      <c r="Q45" s="47"/>
      <c r="R45" s="47"/>
    </row>
    <row r="46" ht="15" customHeight="1">
      <c r="A46" s="47"/>
      <c r="B46" s="47"/>
      <c r="C46" s="47"/>
      <c r="D46" s="47"/>
      <c r="E46" s="47"/>
      <c r="F46" s="47"/>
      <c r="G46" s="47"/>
      <c r="H46" s="47"/>
      <c r="I46" s="47"/>
      <c r="J46" s="47"/>
      <c r="K46" s="47"/>
      <c r="L46" s="47"/>
      <c r="M46" s="47"/>
      <c r="N46" s="47"/>
      <c r="O46" s="47"/>
      <c r="P46" s="47"/>
      <c r="Q46" s="47"/>
      <c r="R46" s="47"/>
    </row>
    <row r="47" ht="15" customHeight="1">
      <c r="A47" s="47"/>
      <c r="B47" s="47"/>
      <c r="C47" s="47"/>
      <c r="D47" s="47"/>
      <c r="E47" s="47"/>
      <c r="F47" s="47"/>
      <c r="G47" s="47"/>
      <c r="H47" s="47"/>
      <c r="I47" s="47"/>
      <c r="J47" s="47"/>
      <c r="K47" s="47"/>
      <c r="L47" s="47"/>
      <c r="M47" s="47"/>
      <c r="N47" s="47"/>
      <c r="O47" s="47"/>
      <c r="P47" s="47"/>
      <c r="Q47" s="47"/>
      <c r="R47" s="47"/>
    </row>
    <row r="48" ht="15" customHeight="1">
      <c r="A48" s="47"/>
      <c r="B48" s="47"/>
      <c r="C48" s="47"/>
      <c r="D48" s="47"/>
      <c r="E48" s="47"/>
      <c r="F48" s="47"/>
      <c r="G48" s="47"/>
      <c r="H48" s="47"/>
      <c r="I48" s="47"/>
      <c r="J48" s="47"/>
      <c r="K48" s="47"/>
      <c r="L48" s="47"/>
      <c r="M48" s="47"/>
      <c r="N48" s="47"/>
      <c r="O48" s="47"/>
      <c r="P48" s="47"/>
      <c r="Q48" s="47"/>
      <c r="R48" s="47"/>
    </row>
    <row r="49" ht="15" customHeight="1">
      <c r="A49" s="47"/>
      <c r="B49" s="47"/>
      <c r="C49" s="47"/>
      <c r="D49" s="47"/>
      <c r="E49" s="47"/>
      <c r="F49" s="47"/>
      <c r="G49" s="47"/>
      <c r="H49" s="47"/>
      <c r="I49" s="47"/>
      <c r="J49" s="47"/>
      <c r="K49" s="47"/>
      <c r="L49" s="47"/>
      <c r="M49" s="47"/>
      <c r="N49" s="47"/>
      <c r="O49" s="47"/>
      <c r="P49" s="47"/>
      <c r="Q49" s="47"/>
      <c r="R49" s="47"/>
    </row>
    <row r="50" ht="15" customHeight="1">
      <c r="A50" s="47"/>
      <c r="B50" s="47"/>
      <c r="C50" s="47"/>
      <c r="D50" s="47"/>
      <c r="E50" s="47"/>
      <c r="F50" s="47"/>
      <c r="G50" s="47"/>
      <c r="H50" s="47"/>
      <c r="I50" s="47"/>
      <c r="J50" s="47"/>
      <c r="K50" s="47"/>
      <c r="L50" s="47"/>
      <c r="M50" s="47"/>
      <c r="N50" s="47"/>
      <c r="O50" s="47"/>
      <c r="P50" s="47"/>
      <c r="Q50" s="47"/>
      <c r="R50" s="47"/>
    </row>
    <row r="51" ht="15" customHeight="1">
      <c r="A51" s="47"/>
      <c r="B51" s="47"/>
      <c r="C51" s="47"/>
      <c r="D51" s="47"/>
      <c r="E51" s="47"/>
      <c r="F51" s="47"/>
      <c r="G51" s="47"/>
      <c r="H51" s="47"/>
      <c r="I51" s="47"/>
      <c r="J51" s="47"/>
      <c r="K51" s="47"/>
      <c r="L51" s="47"/>
      <c r="M51" s="47"/>
      <c r="N51" s="47"/>
      <c r="O51" s="47"/>
      <c r="P51" s="47"/>
      <c r="Q51" s="47"/>
      <c r="R51" s="47"/>
    </row>
    <row r="52" ht="15" customHeight="1">
      <c r="A52" s="47"/>
      <c r="B52" s="47"/>
      <c r="C52" s="47"/>
      <c r="D52" s="47"/>
      <c r="E52" s="47"/>
      <c r="F52" s="47"/>
      <c r="G52" s="47"/>
      <c r="H52" s="47"/>
      <c r="I52" s="47"/>
      <c r="J52" s="47"/>
      <c r="K52" s="47"/>
      <c r="L52" s="47"/>
      <c r="M52" s="47"/>
      <c r="N52" s="47"/>
      <c r="O52" s="47"/>
      <c r="P52" s="47"/>
      <c r="Q52" s="47"/>
      <c r="R52" s="47"/>
    </row>
    <row r="53" ht="15" customHeight="1">
      <c r="A53" s="47"/>
      <c r="B53" s="47"/>
      <c r="C53" s="47"/>
      <c r="D53" s="47"/>
      <c r="E53" s="47"/>
      <c r="F53" s="47"/>
      <c r="G53" s="47"/>
      <c r="H53" s="47"/>
      <c r="I53" s="47"/>
      <c r="J53" s="47"/>
      <c r="K53" s="47"/>
      <c r="L53" s="47"/>
      <c r="M53" s="47"/>
      <c r="N53" s="47"/>
      <c r="O53" s="47"/>
      <c r="P53" s="47"/>
      <c r="Q53" s="47"/>
      <c r="R53" s="47"/>
    </row>
    <row r="54" ht="15" customHeight="1">
      <c r="A54" s="47"/>
      <c r="B54" s="47"/>
      <c r="C54" s="47"/>
      <c r="D54" s="47"/>
      <c r="E54" s="47"/>
      <c r="F54" s="47"/>
      <c r="G54" s="47"/>
      <c r="H54" s="47"/>
      <c r="I54" s="47"/>
      <c r="J54" s="47"/>
      <c r="K54" s="47"/>
      <c r="L54" s="47"/>
      <c r="M54" s="47"/>
      <c r="N54" s="47"/>
      <c r="O54" s="47"/>
      <c r="P54" s="47"/>
      <c r="Q54" s="47"/>
      <c r="R54" s="47"/>
    </row>
    <row r="55" ht="15" customHeight="1">
      <c r="A55" s="47"/>
      <c r="B55" s="47"/>
      <c r="C55" s="47"/>
      <c r="D55" s="47"/>
      <c r="E55" s="47"/>
      <c r="F55" s="47"/>
      <c r="G55" s="47"/>
      <c r="H55" s="47"/>
      <c r="I55" s="47"/>
      <c r="J55" s="47"/>
      <c r="K55" s="47"/>
      <c r="L55" s="47"/>
      <c r="M55" s="47"/>
      <c r="N55" s="47"/>
      <c r="O55" s="47"/>
      <c r="P55" s="47"/>
      <c r="Q55" s="47"/>
      <c r="R55" s="47"/>
    </row>
    <row r="56" ht="15" customHeight="1">
      <c r="A56" s="47"/>
      <c r="B56" s="47"/>
      <c r="C56" s="47"/>
      <c r="D56" s="47"/>
      <c r="E56" s="47"/>
      <c r="F56" s="47"/>
      <c r="G56" s="47"/>
      <c r="H56" s="47"/>
      <c r="I56" s="47"/>
      <c r="J56" s="47"/>
      <c r="K56" s="47"/>
      <c r="L56" s="47"/>
      <c r="M56" s="47"/>
      <c r="N56" s="47"/>
      <c r="O56" s="47"/>
      <c r="P56" s="47"/>
      <c r="Q56" s="47"/>
      <c r="R56" s="47"/>
    </row>
    <row r="57" ht="15" customHeight="1">
      <c r="A57" s="47"/>
      <c r="B57" s="47"/>
      <c r="C57" s="47"/>
      <c r="D57" s="47"/>
      <c r="E57" s="47"/>
      <c r="F57" s="47"/>
      <c r="G57" s="47"/>
      <c r="H57" s="47"/>
      <c r="I57" s="47"/>
      <c r="J57" s="47"/>
      <c r="K57" s="47"/>
      <c r="L57" s="47"/>
      <c r="M57" s="47"/>
      <c r="N57" s="47"/>
      <c r="O57" s="47"/>
      <c r="P57" s="47"/>
      <c r="Q57" s="47"/>
      <c r="R57" s="47"/>
    </row>
    <row r="58" ht="15" customHeight="1">
      <c r="A58" s="47"/>
      <c r="B58" s="47"/>
      <c r="C58" s="47"/>
      <c r="D58" s="47"/>
      <c r="E58" s="47"/>
      <c r="F58" s="47"/>
      <c r="G58" s="47"/>
      <c r="H58" s="47"/>
      <c r="I58" s="47"/>
      <c r="J58" s="47"/>
      <c r="K58" s="47"/>
      <c r="L58" s="47"/>
      <c r="M58" s="47"/>
      <c r="N58" s="47"/>
      <c r="O58" s="47"/>
      <c r="P58" s="47"/>
      <c r="Q58" s="47"/>
      <c r="R58" s="47"/>
    </row>
    <row r="59" ht="15" customHeight="1">
      <c r="A59" s="47"/>
      <c r="B59" s="47"/>
      <c r="C59" s="47"/>
      <c r="D59" s="47"/>
      <c r="E59" s="47"/>
      <c r="F59" s="47"/>
      <c r="G59" s="47"/>
      <c r="H59" s="47"/>
      <c r="I59" s="47"/>
      <c r="J59" s="47"/>
      <c r="K59" s="47"/>
      <c r="L59" s="47"/>
      <c r="M59" s="47"/>
      <c r="N59" s="47"/>
      <c r="O59" s="47"/>
      <c r="P59" s="47"/>
      <c r="Q59" s="47"/>
      <c r="R59" s="47"/>
    </row>
    <row r="60" ht="15" customHeight="1">
      <c r="A60" s="47"/>
      <c r="B60" s="47"/>
      <c r="C60" s="47"/>
      <c r="D60" s="47"/>
      <c r="E60" s="47"/>
      <c r="F60" s="47"/>
      <c r="G60" s="47"/>
      <c r="H60" s="47"/>
      <c r="I60" s="47"/>
      <c r="J60" s="47"/>
      <c r="K60" s="47"/>
      <c r="L60" s="47"/>
      <c r="M60" s="47"/>
      <c r="N60" s="47"/>
      <c r="O60" s="47"/>
      <c r="P60" s="47"/>
      <c r="Q60" s="47"/>
      <c r="R60" s="47"/>
    </row>
    <row r="61" ht="15" customHeight="1">
      <c r="A61" s="47"/>
      <c r="B61" s="47"/>
      <c r="C61" s="47"/>
      <c r="D61" s="47"/>
      <c r="E61" s="47"/>
      <c r="F61" s="47"/>
      <c r="G61" s="47"/>
      <c r="H61" s="47"/>
      <c r="I61" s="47"/>
      <c r="J61" s="47"/>
      <c r="K61" s="47"/>
      <c r="L61" s="47"/>
      <c r="M61" s="47"/>
      <c r="N61" s="47"/>
      <c r="O61" s="47"/>
      <c r="P61" s="47"/>
      <c r="Q61" s="47"/>
      <c r="R61" s="47"/>
    </row>
    <row r="62" ht="15" customHeight="1">
      <c r="A62" s="47"/>
      <c r="B62" s="47"/>
      <c r="C62" s="47"/>
      <c r="D62" s="47"/>
      <c r="E62" s="47"/>
      <c r="F62" s="47"/>
      <c r="G62" s="47"/>
      <c r="H62" s="47"/>
      <c r="I62" s="47"/>
      <c r="J62" s="47"/>
      <c r="K62" s="47"/>
      <c r="L62" s="47"/>
      <c r="M62" s="47"/>
      <c r="N62" s="47"/>
      <c r="O62" s="47"/>
      <c r="P62" s="47"/>
      <c r="Q62" s="47"/>
      <c r="R62" s="47"/>
    </row>
    <row r="63" ht="15" customHeight="1">
      <c r="A63" s="47"/>
      <c r="B63" s="47"/>
      <c r="C63" s="47"/>
      <c r="D63" s="47"/>
      <c r="E63" s="47"/>
      <c r="F63" s="47"/>
      <c r="G63" s="47"/>
      <c r="H63" s="47"/>
      <c r="I63" s="47"/>
      <c r="J63" s="47"/>
      <c r="K63" s="47"/>
      <c r="L63" s="47"/>
      <c r="M63" s="47"/>
      <c r="N63" s="47"/>
      <c r="O63" s="47"/>
      <c r="P63" s="47"/>
      <c r="Q63" s="47"/>
      <c r="R63" s="47"/>
    </row>
    <row r="64" ht="15" customHeight="1">
      <c r="A64" s="47"/>
      <c r="B64" s="47"/>
      <c r="C64" s="47"/>
      <c r="D64" s="47"/>
      <c r="E64" s="47"/>
      <c r="F64" s="47"/>
      <c r="G64" s="47"/>
      <c r="H64" s="47"/>
      <c r="I64" s="47"/>
      <c r="J64" s="47"/>
      <c r="K64" s="47"/>
      <c r="L64" s="47"/>
      <c r="M64" s="47"/>
      <c r="N64" s="47"/>
      <c r="O64" s="47"/>
      <c r="P64" s="47"/>
      <c r="Q64" s="47"/>
      <c r="R64" s="47"/>
    </row>
    <row r="65" ht="15" customHeight="1">
      <c r="A65" s="47"/>
      <c r="B65" s="47"/>
      <c r="C65" s="47"/>
      <c r="D65" s="47"/>
      <c r="E65" s="47"/>
      <c r="F65" s="47"/>
      <c r="G65" s="47"/>
      <c r="H65" s="47"/>
      <c r="I65" s="47"/>
      <c r="J65" s="47"/>
      <c r="K65" s="47"/>
      <c r="L65" s="47"/>
      <c r="M65" s="47"/>
      <c r="N65" s="47"/>
      <c r="O65" s="47"/>
      <c r="P65" s="47"/>
      <c r="Q65" s="47"/>
      <c r="R65" s="47"/>
    </row>
    <row r="66" ht="15" customHeight="1">
      <c r="A66" s="47"/>
      <c r="B66" s="47"/>
      <c r="C66" s="47"/>
      <c r="D66" s="47"/>
      <c r="E66" s="47"/>
      <c r="F66" s="47"/>
      <c r="G66" s="47"/>
      <c r="H66" s="47"/>
      <c r="I66" s="47"/>
      <c r="J66" s="47"/>
      <c r="K66" s="47"/>
      <c r="L66" s="47"/>
      <c r="M66" s="47"/>
      <c r="N66" s="47"/>
      <c r="O66" s="47"/>
      <c r="P66" s="47"/>
      <c r="Q66" s="47"/>
      <c r="R66" s="47"/>
    </row>
    <row r="67" ht="15" customHeight="1">
      <c r="A67" s="47"/>
      <c r="B67" s="47"/>
      <c r="C67" s="47"/>
      <c r="D67" s="47"/>
      <c r="E67" s="47"/>
      <c r="F67" s="47"/>
      <c r="G67" s="47"/>
      <c r="H67" s="47"/>
      <c r="I67" s="47"/>
      <c r="J67" s="47"/>
      <c r="K67" s="47"/>
      <c r="L67" s="47"/>
      <c r="M67" s="47"/>
      <c r="N67" s="47"/>
      <c r="O67" s="47"/>
      <c r="P67" s="47"/>
      <c r="Q67" s="47"/>
      <c r="R67" s="47"/>
    </row>
    <row r="68" ht="15" customHeight="1">
      <c r="A68" s="47"/>
      <c r="B68" s="47"/>
      <c r="C68" s="47"/>
      <c r="D68" s="47"/>
      <c r="E68" s="47"/>
      <c r="F68" s="47"/>
      <c r="G68" s="47"/>
      <c r="H68" s="47"/>
      <c r="I68" s="47"/>
      <c r="J68" s="47"/>
      <c r="K68" s="47"/>
      <c r="L68" s="47"/>
      <c r="M68" s="47"/>
      <c r="N68" s="47"/>
      <c r="O68" s="47"/>
      <c r="P68" s="47"/>
      <c r="Q68" s="47"/>
      <c r="R68" s="47"/>
    </row>
    <row r="69" ht="15" customHeight="1">
      <c r="A69" s="47"/>
      <c r="B69" s="47"/>
      <c r="C69" s="47"/>
      <c r="D69" s="47"/>
      <c r="E69" s="47"/>
      <c r="F69" s="47"/>
      <c r="G69" s="47"/>
      <c r="H69" s="47"/>
      <c r="I69" s="47"/>
      <c r="J69" s="47"/>
      <c r="K69" s="47"/>
      <c r="L69" s="47"/>
      <c r="M69" s="47"/>
      <c r="N69" s="47"/>
      <c r="O69" s="47"/>
      <c r="P69" s="47"/>
      <c r="Q69" s="47"/>
      <c r="R69" s="47"/>
    </row>
    <row r="70" ht="15" customHeight="1">
      <c r="A70" s="47"/>
      <c r="B70" s="47"/>
      <c r="C70" s="47"/>
      <c r="D70" s="47"/>
      <c r="E70" s="47"/>
      <c r="F70" s="47"/>
      <c r="G70" s="47"/>
      <c r="H70" s="47"/>
      <c r="I70" s="47"/>
      <c r="J70" s="47"/>
      <c r="K70" s="47"/>
      <c r="L70" s="47"/>
      <c r="M70" s="47"/>
      <c r="N70" s="47"/>
      <c r="O70" s="47"/>
      <c r="P70" s="47"/>
      <c r="Q70" s="47"/>
      <c r="R70" s="47"/>
    </row>
    <row r="71" ht="15" customHeight="1">
      <c r="A71" s="47"/>
      <c r="B71" s="47"/>
      <c r="C71" s="47"/>
      <c r="D71" s="47"/>
      <c r="E71" s="47"/>
      <c r="F71" s="47"/>
      <c r="G71" s="47"/>
      <c r="H71" s="47"/>
      <c r="I71" s="47"/>
      <c r="J71" s="47"/>
      <c r="K71" s="47"/>
      <c r="L71" s="47"/>
      <c r="M71" s="47"/>
      <c r="N71" s="47"/>
      <c r="O71" s="47"/>
      <c r="P71" s="47"/>
      <c r="Q71" s="47"/>
      <c r="R71" s="47"/>
    </row>
    <row r="72" ht="15" customHeight="1">
      <c r="A72" s="47"/>
      <c r="B72" s="47"/>
      <c r="C72" s="47"/>
      <c r="D72" s="47"/>
      <c r="E72" s="47"/>
      <c r="F72" s="47"/>
      <c r="G72" s="47"/>
      <c r="H72" s="47"/>
      <c r="I72" s="47"/>
      <c r="J72" s="47"/>
      <c r="K72" s="47"/>
      <c r="L72" s="47"/>
      <c r="M72" s="47"/>
      <c r="N72" s="47"/>
      <c r="O72" s="47"/>
      <c r="P72" s="47"/>
      <c r="Q72" s="47"/>
      <c r="R72" s="47"/>
    </row>
    <row r="73" ht="15" customHeight="1">
      <c r="A73" s="47"/>
      <c r="B73" s="47"/>
      <c r="C73" s="47"/>
      <c r="D73" s="47"/>
      <c r="E73" s="47"/>
      <c r="F73" s="47"/>
      <c r="G73" s="47"/>
      <c r="H73" s="47"/>
      <c r="I73" s="47"/>
      <c r="J73" s="47"/>
      <c r="K73" s="47"/>
      <c r="L73" s="47"/>
      <c r="M73" s="47"/>
      <c r="N73" s="47"/>
      <c r="O73" s="47"/>
      <c r="P73" s="47"/>
      <c r="Q73" s="47"/>
      <c r="R73" s="47"/>
    </row>
    <row r="74" ht="15" customHeight="1">
      <c r="A74" s="47"/>
      <c r="B74" s="47"/>
      <c r="C74" s="47"/>
      <c r="D74" s="47"/>
      <c r="E74" s="47"/>
      <c r="F74" s="47"/>
      <c r="G74" s="47"/>
      <c r="H74" s="47"/>
      <c r="I74" s="47"/>
      <c r="J74" s="47"/>
      <c r="K74" s="47"/>
      <c r="L74" s="47"/>
      <c r="M74" s="47"/>
      <c r="N74" s="47"/>
      <c r="O74" s="47"/>
      <c r="P74" s="47"/>
      <c r="Q74" s="47"/>
      <c r="R74" s="47"/>
    </row>
    <row r="75" ht="15" customHeight="1">
      <c r="A75" s="47"/>
      <c r="B75" s="47"/>
      <c r="C75" s="47"/>
      <c r="D75" s="47"/>
      <c r="E75" s="47"/>
      <c r="F75" s="47"/>
      <c r="G75" s="47"/>
      <c r="H75" s="47"/>
      <c r="I75" s="47"/>
      <c r="J75" s="47"/>
      <c r="K75" s="47"/>
      <c r="L75" s="47"/>
      <c r="M75" s="47"/>
      <c r="N75" s="47"/>
      <c r="O75" s="47"/>
      <c r="P75" s="47"/>
      <c r="Q75" s="47"/>
      <c r="R75" s="47"/>
    </row>
    <row r="76" ht="15" customHeight="1">
      <c r="A76" s="47"/>
      <c r="B76" s="47"/>
      <c r="C76" s="47"/>
      <c r="D76" s="47"/>
      <c r="E76" s="47"/>
      <c r="F76" s="47"/>
      <c r="G76" s="47"/>
      <c r="H76" s="47"/>
      <c r="I76" s="47"/>
      <c r="J76" s="47"/>
      <c r="K76" s="47"/>
      <c r="L76" s="47"/>
      <c r="M76" s="47"/>
      <c r="N76" s="47"/>
      <c r="O76" s="47"/>
      <c r="P76" s="47"/>
      <c r="Q76" s="47"/>
      <c r="R76" s="47"/>
    </row>
    <row r="77" ht="15" customHeight="1">
      <c r="A77" s="47"/>
      <c r="B77" s="47"/>
      <c r="C77" s="47"/>
      <c r="D77" s="47"/>
      <c r="E77" s="47"/>
      <c r="F77" s="47"/>
      <c r="G77" s="47"/>
      <c r="H77" s="47"/>
      <c r="I77" s="47"/>
      <c r="J77" s="47"/>
      <c r="K77" s="47"/>
      <c r="L77" s="47"/>
      <c r="M77" s="47"/>
      <c r="N77" s="47"/>
      <c r="O77" s="47"/>
      <c r="P77" s="47"/>
      <c r="Q77" s="47"/>
      <c r="R77" s="47"/>
    </row>
    <row r="78" ht="15" customHeight="1">
      <c r="A78" s="47"/>
      <c r="B78" s="47"/>
      <c r="C78" s="47"/>
      <c r="D78" s="47"/>
      <c r="E78" s="47"/>
      <c r="F78" s="47"/>
      <c r="G78" s="47"/>
      <c r="H78" s="47"/>
      <c r="I78" s="47"/>
      <c r="J78" s="47"/>
      <c r="K78" s="47"/>
      <c r="L78" s="47"/>
      <c r="M78" s="47"/>
      <c r="N78" s="47"/>
      <c r="O78" s="47"/>
      <c r="P78" s="47"/>
      <c r="Q78" s="47"/>
      <c r="R78" s="47"/>
    </row>
    <row r="79" ht="15" customHeight="1">
      <c r="A79" s="47"/>
      <c r="B79" s="47"/>
      <c r="C79" s="47"/>
      <c r="D79" s="47"/>
      <c r="E79" s="47"/>
      <c r="F79" s="47"/>
      <c r="G79" s="47"/>
      <c r="H79" s="47"/>
      <c r="I79" s="47"/>
      <c r="J79" s="47"/>
      <c r="K79" s="47"/>
      <c r="L79" s="47"/>
      <c r="M79" s="47"/>
      <c r="N79" s="47"/>
      <c r="O79" s="47"/>
      <c r="P79" s="47"/>
      <c r="Q79" s="47"/>
      <c r="R79" s="47"/>
    </row>
    <row r="80" ht="15" customHeight="1">
      <c r="A80" s="47"/>
      <c r="B80" s="47"/>
      <c r="C80" s="47"/>
      <c r="D80" s="47"/>
      <c r="E80" s="47"/>
      <c r="F80" s="47"/>
      <c r="G80" s="47"/>
      <c r="H80" s="47"/>
      <c r="I80" s="47"/>
      <c r="J80" s="47"/>
      <c r="K80" s="47"/>
      <c r="L80" s="47"/>
      <c r="M80" s="47"/>
      <c r="N80" s="47"/>
      <c r="O80" s="47"/>
      <c r="P80" s="47"/>
      <c r="Q80" s="47"/>
      <c r="R80" s="47"/>
    </row>
    <row r="81" ht="15" customHeight="1">
      <c r="A81" s="47"/>
      <c r="B81" s="47"/>
      <c r="C81" s="47"/>
      <c r="D81" s="47"/>
      <c r="E81" s="47"/>
      <c r="F81" s="47"/>
      <c r="G81" s="47"/>
      <c r="H81" s="47"/>
      <c r="I81" s="47"/>
      <c r="J81" s="47"/>
      <c r="K81" s="47"/>
      <c r="L81" s="47"/>
      <c r="M81" s="47"/>
      <c r="N81" s="47"/>
      <c r="O81" s="47"/>
      <c r="P81" s="47"/>
      <c r="Q81" s="47"/>
      <c r="R81" s="47"/>
    </row>
    <row r="82" ht="15" customHeight="1">
      <c r="A82" s="47"/>
      <c r="B82" s="47"/>
      <c r="C82" s="47"/>
      <c r="D82" s="47"/>
      <c r="E82" s="47"/>
      <c r="F82" s="47"/>
      <c r="G82" s="47"/>
      <c r="H82" s="47"/>
      <c r="I82" s="47"/>
      <c r="J82" s="47"/>
      <c r="K82" s="47"/>
      <c r="L82" s="47"/>
      <c r="M82" s="47"/>
      <c r="N82" s="47"/>
      <c r="O82" s="47"/>
      <c r="P82" s="47"/>
      <c r="Q82" s="47"/>
      <c r="R82" s="47"/>
    </row>
    <row r="83" ht="15" customHeight="1">
      <c r="A83" s="47"/>
      <c r="B83" s="47"/>
      <c r="C83" s="47"/>
      <c r="D83" s="47"/>
      <c r="E83" s="47"/>
      <c r="F83" s="47"/>
      <c r="G83" s="47"/>
      <c r="H83" s="47"/>
      <c r="I83" s="47"/>
      <c r="J83" s="47"/>
      <c r="K83" s="47"/>
      <c r="L83" s="47"/>
      <c r="M83" s="47"/>
      <c r="N83" s="47"/>
      <c r="O83" s="47"/>
      <c r="P83" s="47"/>
      <c r="Q83" s="47"/>
      <c r="R83" s="47"/>
    </row>
    <row r="84" ht="15" customHeight="1">
      <c r="A84" s="47"/>
      <c r="B84" s="47"/>
      <c r="C84" s="47"/>
      <c r="D84" s="47"/>
      <c r="E84" s="47"/>
      <c r="F84" s="47"/>
      <c r="G84" s="47"/>
      <c r="H84" s="47"/>
      <c r="I84" s="47"/>
      <c r="J84" s="47"/>
      <c r="K84" s="47"/>
      <c r="L84" s="47"/>
      <c r="M84" s="47"/>
      <c r="N84" s="47"/>
      <c r="O84" s="47"/>
      <c r="P84" s="47"/>
      <c r="Q84" s="47"/>
      <c r="R84" s="47"/>
    </row>
    <row r="85" ht="15" customHeight="1">
      <c r="A85" s="47"/>
      <c r="B85" s="47"/>
      <c r="C85" s="47"/>
      <c r="D85" s="47"/>
      <c r="E85" s="47"/>
      <c r="F85" s="47"/>
      <c r="G85" s="47"/>
      <c r="H85" s="47"/>
      <c r="I85" s="47"/>
      <c r="J85" s="47"/>
      <c r="K85" s="47"/>
      <c r="L85" s="47"/>
      <c r="M85" s="47"/>
      <c r="N85" s="47"/>
      <c r="O85" s="47"/>
      <c r="P85" s="47"/>
      <c r="Q85" s="47"/>
      <c r="R85" s="47"/>
    </row>
    <row r="86" ht="15" customHeight="1">
      <c r="A86" s="47"/>
      <c r="B86" s="47"/>
      <c r="C86" s="47"/>
      <c r="D86" s="47"/>
      <c r="E86" s="47"/>
      <c r="F86" s="47"/>
      <c r="G86" s="47"/>
      <c r="H86" s="47"/>
      <c r="I86" s="47"/>
      <c r="J86" s="47"/>
      <c r="K86" s="47"/>
      <c r="L86" s="47"/>
      <c r="M86" s="47"/>
      <c r="N86" s="47"/>
      <c r="O86" s="47"/>
      <c r="P86" s="47"/>
      <c r="Q86" s="47"/>
      <c r="R86" s="47"/>
    </row>
    <row r="87" ht="15" customHeight="1">
      <c r="A87" s="47"/>
      <c r="B87" s="47"/>
      <c r="C87" s="47"/>
      <c r="D87" s="47"/>
      <c r="E87" s="47"/>
      <c r="F87" s="47"/>
      <c r="G87" s="47"/>
      <c r="H87" s="47"/>
      <c r="I87" s="47"/>
      <c r="J87" s="47"/>
      <c r="K87" s="47"/>
      <c r="L87" s="47"/>
      <c r="M87" s="47"/>
      <c r="N87" s="47"/>
      <c r="O87" s="47"/>
      <c r="P87" s="47"/>
      <c r="Q87" s="47"/>
      <c r="R87" s="47"/>
    </row>
    <row r="88" ht="15" customHeight="1">
      <c r="A88" s="47"/>
      <c r="B88" s="47"/>
      <c r="C88" s="47"/>
      <c r="D88" s="47"/>
      <c r="E88" s="47"/>
      <c r="F88" s="47"/>
      <c r="G88" s="47"/>
      <c r="H88" s="47"/>
      <c r="I88" s="47"/>
      <c r="J88" s="47"/>
      <c r="K88" s="47"/>
      <c r="L88" s="47"/>
      <c r="M88" s="47"/>
      <c r="N88" s="47"/>
      <c r="O88" s="47"/>
      <c r="P88" s="47"/>
      <c r="Q88" s="47"/>
      <c r="R88" s="47"/>
    </row>
    <row r="89" ht="15" customHeight="1">
      <c r="A89" s="47"/>
      <c r="B89" s="47"/>
      <c r="C89" s="47"/>
      <c r="D89" s="47"/>
      <c r="E89" s="47"/>
      <c r="F89" s="47"/>
      <c r="G89" s="47"/>
      <c r="H89" s="47"/>
      <c r="I89" s="47"/>
      <c r="J89" s="47"/>
      <c r="K89" s="47"/>
      <c r="L89" s="47"/>
      <c r="M89" s="47"/>
      <c r="N89" s="47"/>
      <c r="O89" s="47"/>
      <c r="P89" s="47"/>
      <c r="Q89" s="47"/>
      <c r="R89" s="47"/>
    </row>
    <row r="90" ht="15" customHeight="1">
      <c r="A90" s="47"/>
      <c r="B90" s="47"/>
      <c r="C90" s="47"/>
      <c r="D90" s="47"/>
      <c r="E90" s="47"/>
      <c r="F90" s="47"/>
      <c r="G90" s="47"/>
      <c r="H90" s="47"/>
      <c r="I90" s="47"/>
      <c r="J90" s="47"/>
      <c r="K90" s="47"/>
      <c r="L90" s="47"/>
      <c r="M90" s="47"/>
      <c r="N90" s="47"/>
      <c r="O90" s="47"/>
      <c r="P90" s="47"/>
      <c r="Q90" s="47"/>
      <c r="R90" s="47"/>
    </row>
    <row r="91" ht="15" customHeight="1">
      <c r="A91" s="47"/>
      <c r="B91" s="47"/>
      <c r="C91" s="47"/>
      <c r="D91" s="47"/>
      <c r="E91" s="47"/>
      <c r="F91" s="47"/>
      <c r="G91" s="47"/>
      <c r="H91" s="47"/>
      <c r="I91" s="47"/>
      <c r="J91" s="47"/>
      <c r="K91" s="47"/>
      <c r="L91" s="47"/>
      <c r="M91" s="47"/>
      <c r="N91" s="47"/>
      <c r="O91" s="47"/>
      <c r="P91" s="47"/>
      <c r="Q91" s="47"/>
      <c r="R91" s="47"/>
    </row>
    <row r="92" ht="15" customHeight="1">
      <c r="A92" s="47"/>
      <c r="B92" s="47"/>
      <c r="C92" s="47"/>
      <c r="D92" s="47"/>
      <c r="E92" s="47"/>
      <c r="F92" s="47"/>
      <c r="G92" s="47"/>
      <c r="H92" s="47"/>
      <c r="I92" s="47"/>
      <c r="J92" s="47"/>
      <c r="K92" s="47"/>
      <c r="L92" s="47"/>
      <c r="M92" s="47"/>
      <c r="N92" s="47"/>
      <c r="O92" s="47"/>
      <c r="P92" s="47"/>
      <c r="Q92" s="47"/>
      <c r="R92" s="47"/>
    </row>
    <row r="93" ht="15" customHeight="1">
      <c r="A93" s="47"/>
      <c r="B93" s="47"/>
      <c r="C93" s="47"/>
      <c r="D93" s="47"/>
      <c r="E93" s="47"/>
      <c r="F93" s="47"/>
      <c r="G93" s="47"/>
      <c r="H93" s="47"/>
      <c r="I93" s="47"/>
      <c r="J93" s="47"/>
      <c r="K93" s="47"/>
      <c r="L93" s="47"/>
      <c r="M93" s="47"/>
      <c r="N93" s="47"/>
      <c r="O93" s="47"/>
      <c r="P93" s="47"/>
      <c r="Q93" s="47"/>
      <c r="R93" s="47"/>
    </row>
    <row r="94" ht="15" customHeight="1">
      <c r="A94" s="47"/>
      <c r="B94" s="47"/>
      <c r="C94" s="47"/>
      <c r="D94" s="47"/>
      <c r="E94" s="47"/>
      <c r="F94" s="47"/>
      <c r="G94" s="47"/>
      <c r="H94" s="47"/>
      <c r="I94" s="47"/>
      <c r="J94" s="47"/>
      <c r="K94" s="47"/>
      <c r="L94" s="47"/>
      <c r="M94" s="47"/>
      <c r="N94" s="47"/>
      <c r="O94" s="47"/>
      <c r="P94" s="47"/>
      <c r="Q94" s="47"/>
      <c r="R94" s="47"/>
    </row>
    <row r="95" ht="15" customHeight="1">
      <c r="A95" s="47"/>
      <c r="B95" s="47"/>
      <c r="C95" s="47"/>
      <c r="D95" s="47"/>
      <c r="E95" s="47"/>
      <c r="F95" s="47"/>
      <c r="G95" s="47"/>
      <c r="H95" s="47"/>
      <c r="I95" s="47"/>
      <c r="J95" s="47"/>
      <c r="K95" s="47"/>
      <c r="L95" s="47"/>
      <c r="M95" s="47"/>
      <c r="N95" s="47"/>
      <c r="O95" s="47"/>
      <c r="P95" s="47"/>
      <c r="Q95" s="47"/>
      <c r="R95" s="47"/>
    </row>
    <row r="96" ht="15" customHeight="1">
      <c r="A96" s="47"/>
      <c r="B96" s="47"/>
      <c r="C96" s="47"/>
      <c r="D96" s="47"/>
      <c r="E96" s="47"/>
      <c r="F96" s="47"/>
      <c r="G96" s="47"/>
      <c r="H96" s="47"/>
      <c r="I96" s="47"/>
      <c r="J96" s="47"/>
      <c r="K96" s="47"/>
      <c r="L96" s="47"/>
      <c r="M96" s="47"/>
      <c r="N96" s="47"/>
      <c r="O96" s="47"/>
      <c r="P96" s="47"/>
      <c r="Q96" s="47"/>
      <c r="R96" s="47"/>
    </row>
    <row r="97" ht="15" customHeight="1">
      <c r="A97" s="47"/>
      <c r="B97" s="47"/>
      <c r="C97" s="47"/>
      <c r="D97" s="47"/>
      <c r="E97" s="47"/>
      <c r="F97" s="47"/>
      <c r="G97" s="47"/>
      <c r="H97" s="47"/>
      <c r="I97" s="47"/>
      <c r="J97" s="47"/>
      <c r="K97" s="47"/>
      <c r="L97" s="47"/>
      <c r="M97" s="47"/>
      <c r="N97" s="47"/>
      <c r="O97" s="47"/>
      <c r="P97" s="47"/>
      <c r="Q97" s="47"/>
      <c r="R97" s="47"/>
    </row>
    <row r="98" ht="15" customHeight="1">
      <c r="A98" s="47"/>
      <c r="B98" s="47"/>
      <c r="C98" s="47"/>
      <c r="D98" s="47"/>
      <c r="E98" s="47"/>
      <c r="F98" s="47"/>
      <c r="G98" s="47"/>
      <c r="H98" s="47"/>
      <c r="I98" s="47"/>
      <c r="J98" s="47"/>
      <c r="K98" s="47"/>
      <c r="L98" s="47"/>
      <c r="M98" s="47"/>
      <c r="N98" s="47"/>
      <c r="O98" s="47"/>
      <c r="P98" s="47"/>
      <c r="Q98" s="47"/>
      <c r="R98" s="47"/>
    </row>
    <row r="99" ht="15" customHeight="1">
      <c r="A99" s="47"/>
      <c r="B99" s="47"/>
      <c r="C99" s="47"/>
      <c r="D99" s="47"/>
      <c r="E99" s="47"/>
      <c r="F99" s="47"/>
      <c r="G99" s="47"/>
      <c r="H99" s="47"/>
      <c r="I99" s="47"/>
      <c r="J99" s="47"/>
      <c r="K99" s="47"/>
      <c r="L99" s="47"/>
      <c r="M99" s="47"/>
      <c r="N99" s="47"/>
      <c r="O99" s="47"/>
      <c r="P99" s="47"/>
      <c r="Q99" s="47"/>
      <c r="R99" s="47"/>
    </row>
    <row r="100" ht="15" customHeight="1">
      <c r="A100" s="47"/>
      <c r="B100" s="47"/>
      <c r="C100" s="47"/>
      <c r="D100" s="47"/>
      <c r="E100" s="47"/>
      <c r="F100" s="47"/>
      <c r="G100" s="47"/>
      <c r="H100" s="47"/>
      <c r="I100" s="47"/>
      <c r="J100" s="47"/>
      <c r="K100" s="47"/>
      <c r="L100" s="47"/>
      <c r="M100" s="47"/>
      <c r="N100" s="47"/>
      <c r="O100" s="47"/>
      <c r="P100" s="47"/>
      <c r="Q100" s="47"/>
      <c r="R100" s="47"/>
    </row>
    <row r="101" ht="15" customHeight="1">
      <c r="A101" s="47"/>
      <c r="B101" s="47"/>
      <c r="C101" s="47"/>
      <c r="D101" s="47"/>
      <c r="E101" s="47"/>
      <c r="F101" s="47"/>
      <c r="G101" s="47"/>
      <c r="H101" s="47"/>
      <c r="I101" s="47"/>
      <c r="J101" s="47"/>
      <c r="K101" s="47"/>
      <c r="L101" s="47"/>
      <c r="M101" s="47"/>
      <c r="N101" s="47"/>
      <c r="O101" s="47"/>
      <c r="P101" s="47"/>
      <c r="Q101" s="47"/>
      <c r="R101" s="47"/>
    </row>
    <row r="102" ht="15" customHeight="1">
      <c r="A102" s="47"/>
      <c r="B102" s="47"/>
      <c r="C102" s="47"/>
      <c r="D102" s="47"/>
      <c r="E102" s="47"/>
      <c r="F102" s="47"/>
      <c r="G102" s="47"/>
      <c r="H102" s="47"/>
      <c r="I102" s="47"/>
      <c r="J102" s="47"/>
      <c r="K102" s="47"/>
      <c r="L102" s="47"/>
      <c r="M102" s="47"/>
      <c r="N102" s="47"/>
      <c r="O102" s="47"/>
      <c r="P102" s="47"/>
      <c r="Q102" s="47"/>
      <c r="R102" s="47"/>
    </row>
    <row r="103" ht="15" customHeight="1">
      <c r="A103" s="47"/>
      <c r="B103" s="47"/>
      <c r="C103" s="47"/>
      <c r="D103" s="47"/>
      <c r="E103" s="47"/>
      <c r="F103" s="47"/>
      <c r="G103" s="47"/>
      <c r="H103" s="47"/>
      <c r="I103" s="47"/>
      <c r="J103" s="47"/>
      <c r="K103" s="47"/>
      <c r="L103" s="47"/>
      <c r="M103" s="47"/>
      <c r="N103" s="47"/>
      <c r="O103" s="47"/>
      <c r="P103" s="47"/>
      <c r="Q103" s="47"/>
      <c r="R103" s="47"/>
    </row>
    <row r="104" ht="15" customHeight="1">
      <c r="A104" s="47"/>
      <c r="B104" s="47"/>
      <c r="C104" s="47"/>
      <c r="D104" s="47"/>
      <c r="E104" s="47"/>
      <c r="F104" s="47"/>
      <c r="G104" s="47"/>
      <c r="H104" s="47"/>
      <c r="I104" s="47"/>
      <c r="J104" s="47"/>
      <c r="K104" s="47"/>
      <c r="L104" s="47"/>
      <c r="M104" s="47"/>
      <c r="N104" s="47"/>
      <c r="O104" s="47"/>
      <c r="P104" s="47"/>
      <c r="Q104" s="47"/>
      <c r="R104" s="47"/>
    </row>
    <row r="105" ht="15" customHeight="1">
      <c r="A105" s="47"/>
      <c r="B105" s="47"/>
      <c r="C105" s="47"/>
      <c r="D105" s="47"/>
      <c r="E105" s="47"/>
      <c r="F105" s="47"/>
      <c r="G105" s="47"/>
      <c r="H105" s="47"/>
      <c r="I105" s="47"/>
      <c r="J105" s="47"/>
      <c r="K105" s="47"/>
      <c r="L105" s="47"/>
      <c r="M105" s="47"/>
      <c r="N105" s="47"/>
      <c r="O105" s="47"/>
      <c r="P105" s="47"/>
      <c r="Q105" s="47"/>
      <c r="R105" s="47"/>
    </row>
    <row r="106" ht="15" customHeight="1">
      <c r="A106" s="47"/>
      <c r="B106" s="47"/>
      <c r="C106" s="47"/>
      <c r="D106" s="47"/>
      <c r="E106" s="47"/>
      <c r="F106" s="47"/>
      <c r="G106" s="47"/>
      <c r="H106" s="47"/>
      <c r="I106" s="47"/>
      <c r="J106" s="47"/>
      <c r="K106" s="47"/>
      <c r="L106" s="47"/>
      <c r="M106" s="47"/>
      <c r="N106" s="47"/>
      <c r="O106" s="47"/>
      <c r="P106" s="47"/>
      <c r="Q106" s="47"/>
      <c r="R106" s="47"/>
    </row>
    <row r="107" ht="15" customHeight="1">
      <c r="A107" s="47"/>
      <c r="B107" s="47"/>
      <c r="C107" s="47"/>
      <c r="D107" s="47"/>
      <c r="E107" s="47"/>
      <c r="F107" s="47"/>
      <c r="G107" s="47"/>
      <c r="H107" s="47"/>
      <c r="I107" s="47"/>
      <c r="J107" s="47"/>
      <c r="K107" s="47"/>
      <c r="L107" s="47"/>
      <c r="M107" s="47"/>
      <c r="N107" s="47"/>
      <c r="O107" s="47"/>
      <c r="P107" s="47"/>
      <c r="Q107" s="47"/>
      <c r="R107" s="47"/>
    </row>
    <row r="108" ht="15" customHeight="1">
      <c r="A108" s="47"/>
      <c r="B108" s="47"/>
      <c r="C108" s="47"/>
      <c r="D108" s="47"/>
      <c r="E108" s="47"/>
      <c r="F108" s="47"/>
      <c r="G108" s="47"/>
      <c r="H108" s="47"/>
      <c r="I108" s="47"/>
      <c r="J108" s="47"/>
      <c r="K108" s="47"/>
      <c r="L108" s="47"/>
      <c r="M108" s="47"/>
      <c r="N108" s="47"/>
      <c r="O108" s="47"/>
      <c r="P108" s="47"/>
      <c r="Q108" s="47"/>
      <c r="R108" s="47"/>
    </row>
    <row r="109" ht="15" customHeight="1">
      <c r="A109" s="47"/>
      <c r="B109" s="47"/>
      <c r="C109" s="47"/>
      <c r="D109" s="47"/>
      <c r="E109" s="47"/>
      <c r="F109" s="47"/>
      <c r="G109" s="47"/>
      <c r="H109" s="47"/>
      <c r="I109" s="47"/>
      <c r="J109" s="47"/>
      <c r="K109" s="47"/>
      <c r="L109" s="47"/>
      <c r="M109" s="47"/>
      <c r="N109" s="47"/>
      <c r="O109" s="47"/>
      <c r="P109" s="47"/>
      <c r="Q109" s="47"/>
      <c r="R109" s="47"/>
    </row>
    <row r="110" ht="15" customHeight="1">
      <c r="A110" s="47"/>
      <c r="B110" s="47"/>
      <c r="C110" s="47"/>
      <c r="D110" s="47"/>
      <c r="E110" s="47"/>
      <c r="F110" s="47"/>
      <c r="G110" s="47"/>
      <c r="H110" s="47"/>
      <c r="I110" s="47"/>
      <c r="J110" s="47"/>
      <c r="K110" s="47"/>
      <c r="L110" s="47"/>
      <c r="M110" s="47"/>
      <c r="N110" s="47"/>
      <c r="O110" s="47"/>
      <c r="P110" s="47"/>
      <c r="Q110" s="47"/>
      <c r="R110" s="47"/>
    </row>
    <row r="111" ht="15" customHeight="1">
      <c r="A111" s="47"/>
      <c r="B111" s="47"/>
      <c r="C111" s="47"/>
      <c r="D111" s="47"/>
      <c r="E111" s="47"/>
      <c r="F111" s="47"/>
      <c r="G111" s="47"/>
      <c r="H111" s="47"/>
      <c r="I111" s="47"/>
      <c r="J111" s="47"/>
      <c r="K111" s="47"/>
      <c r="L111" s="47"/>
      <c r="M111" s="47"/>
      <c r="N111" s="47"/>
      <c r="O111" s="47"/>
      <c r="P111" s="47"/>
      <c r="Q111" s="47"/>
      <c r="R111" s="47"/>
    </row>
    <row r="112" ht="15" customHeight="1">
      <c r="A112" s="47"/>
      <c r="B112" s="47"/>
      <c r="C112" s="47"/>
      <c r="D112" s="47"/>
      <c r="E112" s="47"/>
      <c r="F112" s="47"/>
      <c r="G112" s="47"/>
      <c r="H112" s="47"/>
      <c r="I112" s="47"/>
      <c r="J112" s="47"/>
      <c r="K112" s="47"/>
      <c r="L112" s="47"/>
      <c r="M112" s="47"/>
      <c r="N112" s="47"/>
      <c r="O112" s="47"/>
      <c r="P112" s="47"/>
      <c r="Q112" s="47"/>
      <c r="R112" s="47"/>
    </row>
    <row r="113" ht="15" customHeight="1">
      <c r="A113" s="47"/>
      <c r="B113" s="47"/>
      <c r="C113" s="47"/>
      <c r="D113" s="47"/>
      <c r="E113" s="47"/>
      <c r="F113" s="47"/>
      <c r="G113" s="47"/>
      <c r="H113" s="47"/>
      <c r="I113" s="47"/>
      <c r="J113" s="47"/>
      <c r="K113" s="47"/>
      <c r="L113" s="47"/>
      <c r="M113" s="47"/>
      <c r="N113" s="47"/>
      <c r="O113" s="47"/>
      <c r="P113" s="47"/>
      <c r="Q113" s="47"/>
      <c r="R113" s="47"/>
    </row>
    <row r="114" ht="15" customHeight="1">
      <c r="A114" s="47"/>
      <c r="B114" s="47"/>
      <c r="C114" s="47"/>
      <c r="D114" s="47"/>
      <c r="E114" s="47"/>
      <c r="F114" s="47"/>
      <c r="G114" s="47"/>
      <c r="H114" s="47"/>
      <c r="I114" s="47"/>
      <c r="J114" s="47"/>
      <c r="K114" s="47"/>
      <c r="L114" s="47"/>
      <c r="M114" s="47"/>
      <c r="N114" s="47"/>
      <c r="O114" s="47"/>
      <c r="P114" s="47"/>
      <c r="Q114" s="47"/>
      <c r="R114" s="47"/>
    </row>
    <row r="115" ht="15" customHeight="1">
      <c r="A115" s="47"/>
      <c r="B115" s="47"/>
      <c r="C115" s="47"/>
      <c r="D115" s="47"/>
      <c r="E115" s="47"/>
      <c r="F115" s="47"/>
      <c r="G115" s="47"/>
      <c r="H115" s="47"/>
      <c r="I115" s="47"/>
      <c r="J115" s="47"/>
      <c r="K115" s="47"/>
      <c r="L115" s="47"/>
      <c r="M115" s="47"/>
      <c r="N115" s="47"/>
      <c r="O115" s="47"/>
      <c r="P115" s="47"/>
      <c r="Q115" s="47"/>
      <c r="R115" s="47"/>
    </row>
    <row r="116" ht="15" customHeight="1">
      <c r="A116" s="47"/>
      <c r="B116" s="47"/>
      <c r="C116" s="47"/>
      <c r="D116" s="47"/>
      <c r="E116" s="47"/>
      <c r="F116" s="47"/>
      <c r="G116" s="47"/>
      <c r="H116" s="47"/>
      <c r="I116" s="47"/>
      <c r="J116" s="47"/>
      <c r="K116" s="47"/>
      <c r="L116" s="47"/>
      <c r="M116" s="47"/>
      <c r="N116" s="47"/>
      <c r="O116" s="47"/>
      <c r="P116" s="47"/>
      <c r="Q116" s="47"/>
      <c r="R116" s="47"/>
    </row>
    <row r="117" ht="15" customHeight="1">
      <c r="A117" s="47"/>
      <c r="B117" s="47"/>
      <c r="C117" s="47"/>
      <c r="D117" s="47"/>
      <c r="E117" s="47"/>
      <c r="F117" s="47"/>
      <c r="G117" s="47"/>
      <c r="H117" s="47"/>
      <c r="I117" s="47"/>
      <c r="J117" s="47"/>
      <c r="K117" s="47"/>
      <c r="L117" s="47"/>
      <c r="M117" s="47"/>
      <c r="N117" s="47"/>
      <c r="O117" s="47"/>
      <c r="P117" s="47"/>
      <c r="Q117" s="47"/>
      <c r="R117" s="47"/>
    </row>
    <row r="118" ht="15" customHeight="1">
      <c r="A118" s="47"/>
      <c r="B118" s="47"/>
      <c r="C118" s="47"/>
      <c r="D118" s="47"/>
      <c r="E118" s="47"/>
      <c r="F118" s="47"/>
      <c r="G118" s="47"/>
      <c r="H118" s="47"/>
      <c r="I118" s="47"/>
      <c r="J118" s="47"/>
      <c r="K118" s="47"/>
      <c r="L118" s="47"/>
      <c r="M118" s="47"/>
      <c r="N118" s="47"/>
      <c r="O118" s="47"/>
      <c r="P118" s="47"/>
      <c r="Q118" s="47"/>
      <c r="R118" s="47"/>
    </row>
    <row r="119" ht="15" customHeight="1">
      <c r="A119" s="47"/>
      <c r="B119" s="47"/>
      <c r="C119" s="47"/>
      <c r="D119" s="47"/>
      <c r="E119" s="47"/>
      <c r="F119" s="47"/>
      <c r="G119" s="47"/>
      <c r="H119" s="47"/>
      <c r="I119" s="47"/>
      <c r="J119" s="47"/>
      <c r="K119" s="47"/>
      <c r="L119" s="47"/>
      <c r="M119" s="47"/>
      <c r="N119" s="47"/>
      <c r="O119" s="47"/>
      <c r="P119" s="47"/>
      <c r="Q119" s="47"/>
      <c r="R119" s="47"/>
    </row>
    <row r="120" ht="15" customHeight="1">
      <c r="A120" s="47"/>
      <c r="B120" s="47"/>
      <c r="C120" s="47"/>
      <c r="D120" s="47"/>
      <c r="E120" s="47"/>
      <c r="F120" s="47"/>
      <c r="G120" s="47"/>
      <c r="H120" s="47"/>
      <c r="I120" s="47"/>
      <c r="J120" s="47"/>
      <c r="K120" s="47"/>
      <c r="L120" s="47"/>
      <c r="M120" s="47"/>
      <c r="N120" s="47"/>
      <c r="O120" s="47"/>
      <c r="P120" s="47"/>
      <c r="Q120" s="47"/>
      <c r="R120" s="47"/>
    </row>
    <row r="121" ht="15" customHeight="1">
      <c r="A121" s="47"/>
      <c r="B121" s="47"/>
      <c r="C121" s="47"/>
      <c r="D121" s="47"/>
      <c r="E121" s="47"/>
      <c r="F121" s="47"/>
      <c r="G121" s="47"/>
      <c r="H121" s="47"/>
      <c r="I121" s="47"/>
      <c r="J121" s="47"/>
      <c r="K121" s="47"/>
      <c r="L121" s="47"/>
      <c r="M121" s="47"/>
      <c r="N121" s="47"/>
      <c r="O121" s="47"/>
      <c r="P121" s="47"/>
      <c r="Q121" s="47"/>
      <c r="R121" s="47"/>
    </row>
    <row r="122" ht="15" customHeight="1">
      <c r="A122" s="47"/>
      <c r="B122" s="47"/>
      <c r="C122" s="47"/>
      <c r="D122" s="47"/>
      <c r="E122" s="47"/>
      <c r="F122" s="47"/>
      <c r="G122" s="47"/>
      <c r="H122" s="47"/>
      <c r="I122" s="47"/>
      <c r="J122" s="47"/>
      <c r="K122" s="47"/>
      <c r="L122" s="47"/>
      <c r="M122" s="47"/>
      <c r="N122" s="47"/>
      <c r="O122" s="47"/>
      <c r="P122" s="47"/>
      <c r="Q122" s="47"/>
      <c r="R122" s="47"/>
    </row>
    <row r="123" ht="15" customHeight="1">
      <c r="A123" s="47"/>
      <c r="B123" s="47"/>
      <c r="C123" s="47"/>
      <c r="D123" s="47"/>
      <c r="E123" s="47"/>
      <c r="F123" s="47"/>
      <c r="G123" s="47"/>
      <c r="H123" s="47"/>
      <c r="I123" s="47"/>
      <c r="J123" s="47"/>
      <c r="K123" s="47"/>
      <c r="L123" s="47"/>
      <c r="M123" s="47"/>
      <c r="N123" s="47"/>
      <c r="O123" s="47"/>
      <c r="P123" s="47"/>
      <c r="Q123" s="47"/>
      <c r="R123" s="47"/>
    </row>
    <row r="124" ht="15" customHeight="1">
      <c r="A124" s="47"/>
      <c r="B124" s="47"/>
      <c r="C124" s="47"/>
      <c r="D124" s="47"/>
      <c r="E124" s="47"/>
      <c r="F124" s="47"/>
      <c r="G124" s="47"/>
      <c r="H124" s="47"/>
      <c r="I124" s="47"/>
      <c r="J124" s="47"/>
      <c r="K124" s="47"/>
      <c r="L124" s="47"/>
      <c r="M124" s="47"/>
      <c r="N124" s="47"/>
      <c r="O124" s="47"/>
      <c r="P124" s="47"/>
      <c r="Q124" s="47"/>
      <c r="R124" s="47"/>
    </row>
    <row r="125" ht="15" customHeight="1">
      <c r="A125" s="47"/>
      <c r="B125" s="47"/>
      <c r="C125" s="47"/>
      <c r="D125" s="47"/>
      <c r="E125" s="47"/>
      <c r="F125" s="47"/>
      <c r="G125" s="47"/>
      <c r="H125" s="47"/>
      <c r="I125" s="47"/>
      <c r="J125" s="47"/>
      <c r="K125" s="47"/>
      <c r="L125" s="47"/>
      <c r="M125" s="47"/>
      <c r="N125" s="47"/>
      <c r="O125" s="47"/>
      <c r="P125" s="47"/>
      <c r="Q125" s="47"/>
      <c r="R125" s="47"/>
    </row>
    <row r="126" ht="15" customHeight="1">
      <c r="A126" s="47"/>
      <c r="B126" s="47"/>
      <c r="C126" s="47"/>
      <c r="D126" s="47"/>
      <c r="E126" s="47"/>
      <c r="F126" s="47"/>
      <c r="G126" s="47"/>
      <c r="H126" s="47"/>
      <c r="I126" s="47"/>
      <c r="J126" s="47"/>
      <c r="K126" s="47"/>
      <c r="L126" s="47"/>
      <c r="M126" s="47"/>
      <c r="N126" s="47"/>
      <c r="O126" s="47"/>
      <c r="P126" s="47"/>
      <c r="Q126" s="47"/>
      <c r="R126" s="47"/>
    </row>
    <row r="127" ht="15" customHeight="1">
      <c r="A127" s="47"/>
      <c r="B127" s="47"/>
      <c r="C127" s="47"/>
      <c r="D127" s="47"/>
      <c r="E127" s="47"/>
      <c r="F127" s="47"/>
      <c r="G127" s="47"/>
      <c r="H127" s="47"/>
      <c r="I127" s="47"/>
      <c r="J127" s="47"/>
      <c r="K127" s="47"/>
      <c r="L127" s="47"/>
      <c r="M127" s="47"/>
      <c r="N127" s="47"/>
      <c r="O127" s="47"/>
      <c r="P127" s="47"/>
      <c r="Q127" s="47"/>
      <c r="R127" s="47"/>
    </row>
    <row r="128" ht="15" customHeight="1">
      <c r="A128" s="47"/>
      <c r="B128" s="47"/>
      <c r="C128" s="47"/>
      <c r="D128" s="47"/>
      <c r="E128" s="47"/>
      <c r="F128" s="47"/>
      <c r="G128" s="47"/>
      <c r="H128" s="47"/>
      <c r="I128" s="47"/>
      <c r="J128" s="47"/>
      <c r="K128" s="47"/>
      <c r="L128" s="47"/>
      <c r="M128" s="47"/>
      <c r="N128" s="47"/>
      <c r="O128" s="47"/>
      <c r="P128" s="47"/>
      <c r="Q128" s="47"/>
      <c r="R128" s="47"/>
    </row>
    <row r="129" ht="15" customHeight="1">
      <c r="A129" s="47"/>
      <c r="B129" s="47"/>
      <c r="C129" s="47"/>
      <c r="D129" s="47"/>
      <c r="E129" s="47"/>
      <c r="F129" s="47"/>
      <c r="G129" s="47"/>
      <c r="H129" s="47"/>
      <c r="I129" s="47"/>
      <c r="J129" s="47"/>
      <c r="K129" s="47"/>
      <c r="L129" s="47"/>
      <c r="M129" s="47"/>
      <c r="N129" s="47"/>
      <c r="O129" s="47"/>
      <c r="P129" s="47"/>
      <c r="Q129" s="47"/>
      <c r="R129" s="47"/>
    </row>
    <row r="130" ht="15" customHeight="1">
      <c r="A130" s="47"/>
      <c r="B130" s="47"/>
      <c r="C130" s="47"/>
      <c r="D130" s="47"/>
      <c r="E130" s="47"/>
      <c r="F130" s="47"/>
      <c r="G130" s="47"/>
      <c r="H130" s="47"/>
      <c r="I130" s="47"/>
      <c r="J130" s="47"/>
      <c r="K130" s="47"/>
      <c r="L130" s="47"/>
      <c r="M130" s="47"/>
      <c r="N130" s="47"/>
      <c r="O130" s="47"/>
      <c r="P130" s="47"/>
      <c r="Q130" s="47"/>
      <c r="R130" s="47"/>
    </row>
    <row r="131" ht="15" customHeight="1">
      <c r="A131" s="47"/>
      <c r="B131" s="47"/>
      <c r="C131" s="47"/>
      <c r="D131" s="47"/>
      <c r="E131" s="47"/>
      <c r="F131" s="47"/>
      <c r="G131" s="47"/>
      <c r="H131" s="47"/>
      <c r="I131" s="47"/>
      <c r="J131" s="47"/>
      <c r="K131" s="47"/>
      <c r="L131" s="47"/>
      <c r="M131" s="47"/>
      <c r="N131" s="47"/>
      <c r="O131" s="47"/>
      <c r="P131" s="47"/>
      <c r="Q131" s="47"/>
      <c r="R131" s="47"/>
    </row>
    <row r="132" ht="15" customHeight="1">
      <c r="A132" s="47"/>
      <c r="B132" s="47"/>
      <c r="C132" s="47"/>
      <c r="D132" s="47"/>
      <c r="E132" s="47"/>
      <c r="F132" s="47"/>
      <c r="G132" s="47"/>
      <c r="H132" s="47"/>
      <c r="I132" s="47"/>
      <c r="J132" s="47"/>
      <c r="K132" s="47"/>
      <c r="L132" s="47"/>
      <c r="M132" s="47"/>
      <c r="N132" s="47"/>
      <c r="O132" s="47"/>
      <c r="P132" s="47"/>
      <c r="Q132" s="47"/>
      <c r="R132" s="47"/>
    </row>
    <row r="133" ht="15" customHeight="1">
      <c r="A133" s="47"/>
      <c r="B133" s="47"/>
      <c r="C133" s="47"/>
      <c r="D133" s="47"/>
      <c r="E133" s="47"/>
      <c r="F133" s="47"/>
      <c r="G133" s="47"/>
      <c r="H133" s="47"/>
      <c r="I133" s="47"/>
      <c r="J133" s="47"/>
      <c r="K133" s="47"/>
      <c r="L133" s="47"/>
      <c r="M133" s="47"/>
      <c r="N133" s="47"/>
      <c r="O133" s="47"/>
      <c r="P133" s="47"/>
      <c r="Q133" s="47"/>
      <c r="R133" s="47"/>
    </row>
    <row r="134" ht="15" customHeight="1">
      <c r="A134" s="47"/>
      <c r="B134" s="47"/>
      <c r="C134" s="47"/>
      <c r="D134" s="47"/>
      <c r="E134" s="47"/>
      <c r="F134" s="47"/>
      <c r="G134" s="47"/>
      <c r="H134" s="47"/>
      <c r="I134" s="47"/>
      <c r="J134" s="47"/>
      <c r="K134" s="47"/>
      <c r="L134" s="47"/>
      <c r="M134" s="47"/>
      <c r="N134" s="47"/>
      <c r="O134" s="47"/>
      <c r="P134" s="47"/>
      <c r="Q134" s="47"/>
      <c r="R134" s="47"/>
    </row>
    <row r="135" ht="15" customHeight="1">
      <c r="A135" s="47"/>
      <c r="B135" s="47"/>
      <c r="C135" s="47"/>
      <c r="D135" s="47"/>
      <c r="E135" s="47"/>
      <c r="F135" s="47"/>
      <c r="G135" s="47"/>
      <c r="H135" s="47"/>
      <c r="I135" s="47"/>
      <c r="J135" s="47"/>
      <c r="K135" s="47"/>
      <c r="L135" s="47"/>
      <c r="M135" s="47"/>
      <c r="N135" s="47"/>
      <c r="O135" s="47"/>
      <c r="P135" s="47"/>
      <c r="Q135" s="47"/>
      <c r="R135" s="47"/>
    </row>
  </sheetData>
  <mergeCells count="77">
    <mergeCell ref="A18:C18"/>
    <mergeCell ref="D10:F10"/>
    <mergeCell ref="G10:I10"/>
    <mergeCell ref="A12:C12"/>
    <mergeCell ref="A13:C13"/>
    <mergeCell ref="A14:C14"/>
    <mergeCell ref="A15:C15"/>
    <mergeCell ref="A16:C16"/>
    <mergeCell ref="A17:C17"/>
    <mergeCell ref="D12:F12"/>
    <mergeCell ref="G12:I12"/>
    <mergeCell ref="D13:F13"/>
    <mergeCell ref="G13:I13"/>
    <mergeCell ref="J13:L13"/>
    <mergeCell ref="A9:C9"/>
    <mergeCell ref="D9:F9"/>
    <mergeCell ref="A10:C10"/>
    <mergeCell ref="A11:C11"/>
    <mergeCell ref="P10:R10"/>
    <mergeCell ref="D11:F11"/>
    <mergeCell ref="G11:I11"/>
    <mergeCell ref="J11:L11"/>
    <mergeCell ref="J12:L12"/>
    <mergeCell ref="J10:L10"/>
    <mergeCell ref="M10:O10"/>
    <mergeCell ref="P5:R5"/>
    <mergeCell ref="P6:R6"/>
    <mergeCell ref="P7:R7"/>
    <mergeCell ref="P9:R9"/>
    <mergeCell ref="G9:I9"/>
    <mergeCell ref="J9:L9"/>
    <mergeCell ref="P8:R8"/>
    <mergeCell ref="M8:O8"/>
    <mergeCell ref="M9:O9"/>
    <mergeCell ref="J8:L8"/>
    <mergeCell ref="M3:O3"/>
    <mergeCell ref="M4:O4"/>
    <mergeCell ref="M5:O5"/>
    <mergeCell ref="M6:O6"/>
    <mergeCell ref="M7:O7"/>
    <mergeCell ref="J3:L3"/>
    <mergeCell ref="J4:L4"/>
    <mergeCell ref="J5:L5"/>
    <mergeCell ref="J6:L6"/>
    <mergeCell ref="J7:L7"/>
    <mergeCell ref="A6:C6"/>
    <mergeCell ref="A7:C7"/>
    <mergeCell ref="G8:I8"/>
    <mergeCell ref="D3:F3"/>
    <mergeCell ref="D4:F4"/>
    <mergeCell ref="D5:F5"/>
    <mergeCell ref="D6:F6"/>
    <mergeCell ref="D7:F7"/>
    <mergeCell ref="D8:F8"/>
    <mergeCell ref="G3:I3"/>
    <mergeCell ref="G4:I4"/>
    <mergeCell ref="G5:I5"/>
    <mergeCell ref="G6:I6"/>
    <mergeCell ref="G7:I7"/>
    <mergeCell ref="A8:C8"/>
    <mergeCell ref="A3:C3"/>
    <mergeCell ref="A4:C4"/>
    <mergeCell ref="A5:C5"/>
    <mergeCell ref="P1:R1"/>
    <mergeCell ref="A2:C2"/>
    <mergeCell ref="D2:F2"/>
    <mergeCell ref="G2:I2"/>
    <mergeCell ref="J2:L2"/>
    <mergeCell ref="M2:O2"/>
    <mergeCell ref="P2:R2"/>
    <mergeCell ref="A1:C1"/>
    <mergeCell ref="D1:F1"/>
    <mergeCell ref="G1:I1"/>
    <mergeCell ref="J1:L1"/>
    <mergeCell ref="M1:O1"/>
    <mergeCell ref="P3:R3"/>
    <mergeCell ref="P4:R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